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ategories" sheetId="2" state="visible" r:id="rId4"/>
    <sheet name="Numbers" sheetId="3" state="visible" r:id="rId5"/>
    <sheet name="Placements" sheetId="4" state="visible" r:id="rId6"/>
    <sheet name="Structure Register" sheetId="5" state="visible" r:id="rId7"/>
    <sheet name="Files &amp; Configs" sheetId="6" state="visible" r:id="rId8"/>
    <sheet name="Fasteners" sheetId="7" state="visible" r:id="rId9"/>
    <sheet name="Examples" sheetId="8" state="visible" r:id="rId10"/>
    <sheet name="Rename Register SC08" sheetId="9" state="visible" r:id="rId11"/>
    <sheet name="Configurations SC08" sheetId="10" state="visible" r:id="rId12"/>
    <sheet name="Open Items" sheetId="11" state="visible" r:id="rId13"/>
  </sheets>
  <definedNames>
    <definedName function="false" hidden="false" localSheetId="1" name="_xlnm.Print_Titles" vbProcedure="false">Categories!$3:$3</definedName>
    <definedName function="false" hidden="true" localSheetId="9" name="_xlnm._FilterDatabase" vbProcedure="false">'Configurations SC08'!$A$4:$I$78</definedName>
    <definedName function="false" hidden="false" localSheetId="7" name="_xlnm.Print_Titles" vbProcedure="false">Examples!$4:$4</definedName>
    <definedName function="false" hidden="false" localSheetId="2" name="_xlnm.Print_Titles" vbProcedure="false">Numbers!$3:$3</definedName>
    <definedName function="false" hidden="false" localSheetId="3" name="_xlnm.Print_Titles" vbProcedure="false">Placements!$4:$4</definedName>
    <definedName function="false" hidden="true" localSheetId="8" name="_xlnm._FilterDatabase" vbProcedure="false">'Rename Register SC08'!$A$4:$L$240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<sst xmlns="http://schemas.openxmlformats.org/spreadsheetml/2006/main" count="3278" uniqueCount="837">
  <si>
    <t xml:space="preserve">DL APEX - Structural Part Numbering Standard - Rev 3 (Draft for review)</t>
  </si>
  <si>
    <t xml:space="preserve">SSENN</t>
  </si>
  <si>
    <t xml:space="preserve">-CCT</t>
  </si>
  <si>
    <t xml:space="preserve">-nn</t>
  </si>
  <si>
    <t xml:space="preserve">Place</t>
  </si>
  <si>
    <t xml:space="preserve">Category</t>
  </si>
  <si>
    <t xml:space="preserve">Number</t>
  </si>
  <si>
    <t xml:space="preserve">PLACE  (where the part is used - this is also the folder the file lives in)</t>
  </si>
  <si>
    <t xml:space="preserve">SS</t>
  </si>
  <si>
    <t xml:space="preserve">Scene number 00 to 12</t>
  </si>
  <si>
    <t xml:space="preserve">E</t>
  </si>
  <si>
    <t xml:space="preserve">Shaft : A / B / C = that shaft only, Z = shafts B &amp; C, X = all shafts, 0 = scene has no shafts (00, 12)</t>
  </si>
  <si>
    <t xml:space="preserve">NN</t>
  </si>
  <si>
    <t xml:space="preserve">Screen number from the LS type, or XX = used on more than one screen in the scene</t>
  </si>
  <si>
    <t xml:space="preserve">The shaft letter is decided per part by which rooms it fits - not by the LS type. LS-08BC-11 may have Z subframes and B / C header beams.</t>
  </si>
  <si>
    <t xml:space="preserve">STOCK</t>
  </si>
  <si>
    <t xml:space="preserve">Job-wide item used in more than one scene. Lives in the STOCK folder. No place tag.</t>
  </si>
  <si>
    <t xml:space="preserve">08MGL</t>
  </si>
  <si>
    <t xml:space="preserve">Structure tag: a named / handed structure uses its own 5-character tag (L = left hand, R = right hand). See Structure Register tab.</t>
  </si>
  <si>
    <t xml:space="preserve">CATEGORY</t>
  </si>
  <si>
    <t xml:space="preserve">CC</t>
  </si>
  <si>
    <t xml:space="preserve">Category (see Categories tab)</t>
  </si>
  <si>
    <t xml:space="preserve">T</t>
  </si>
  <si>
    <t xml:space="preserve">Type : A = Assembly (finished item that ships to site), W = Weldment (welded sub-assembly inside an A, factory only), P = Part</t>
  </si>
  <si>
    <t xml:space="preserve">NUMBER</t>
  </si>
  <si>
    <t xml:space="preserve">nn</t>
  </si>
  <si>
    <t xml:space="preserve">01 to 99, numbered within the place + category</t>
  </si>
  <si>
    <t xml:space="preserve">Subframe assemblies (SFA) only: subframe digit 1-9 then position T = Top, B = Bottom, X = one piece   e.g. 08Z11-SFA-1T</t>
  </si>
  <si>
    <t xml:space="preserve">Family files (one SolidWorks file with configurations): configuration name = nn. See Files &amp; Configs tab.</t>
  </si>
  <si>
    <t xml:space="preserve">FASTENERS  (bought-in items are identified by specification, not by a project number)</t>
  </si>
  <si>
    <t xml:space="preserve">FAST-</t>
  </si>
  <si>
    <t xml:space="preserve">FAST-&lt;type&gt;-&lt;size&gt;-&lt;grade&gt;-&lt;finish&gt;   e.g. FAST-HEX-M20x35-8.8-HDG,  FAST-HST3-R-M12x115-A4.  See Fasteners tab.</t>
  </si>
  <si>
    <t xml:space="preserve">FSA</t>
  </si>
  <si>
    <t xml:space="preserve">Bolt kits (bagged per connection) are our own assemblies and use the normal format e.g. STOCK-FSA-01, 08X04-FSA-01</t>
  </si>
  <si>
    <t xml:space="preserve">EXAMPLES</t>
  </si>
  <si>
    <t xml:space="preserve">08A11-SFA-1T</t>
  </si>
  <si>
    <t xml:space="preserve">Scene 08, shaft A, screen 11 - subframe assembly 1, top</t>
  </si>
  <si>
    <t xml:space="preserve">08Z11-SFA-1T</t>
  </si>
  <si>
    <t xml:space="preserve">Same subframe for shafts B and C (A is the mirror, so a separate part)</t>
  </si>
  <si>
    <t xml:space="preserve">08B11-HBA-01</t>
  </si>
  <si>
    <t xml:space="preserve">Header beam assembly 01, shaft B only (B and C header beams differ)</t>
  </si>
  <si>
    <t xml:space="preserve">08B11-HBW-01</t>
  </si>
  <si>
    <t xml:space="preserve">The welded frame inside that header beam</t>
  </si>
  <si>
    <t xml:space="preserve">08X04-PLP-03</t>
  </si>
  <si>
    <t xml:space="preserve">Plate 03 used on screen 04 in all three shafts</t>
  </si>
  <si>
    <t xml:space="preserve">08XXX-PLP-01</t>
  </si>
  <si>
    <t xml:space="preserve">Plate 01 used on more than one screen in scene 08</t>
  </si>
  <si>
    <t xml:space="preserve">08BXX-BKP-01</t>
  </si>
  <si>
    <t xml:space="preserve">Bracket used on more than one screen, shaft B only</t>
  </si>
  <si>
    <t xml:space="preserve">08MGL-SFA-1B</t>
  </si>
  <si>
    <t xml:space="preserve">MacGuffin left hand, subframe 1, bottom</t>
  </si>
  <si>
    <t xml:space="preserve">STOCK-PKP-01</t>
  </si>
  <si>
    <t xml:space="preserve">Packer, used across the job</t>
  </si>
  <si>
    <t xml:space="preserve">NOTES:</t>
  </si>
  <si>
    <t xml:space="preserve">The part number is carried in the PartNo custom property on every part, assembly and configuration. BOMs read PartNo, not the file name.</t>
  </si>
  <si>
    <t xml:space="preserve">Number each part at the lowest level that covers everywhere it is used. Used in more than one scene = STOCK.</t>
  </si>
  <si>
    <t xml:space="preserve">Mirror (handed) parts get their own number. One drawing may show both hands.</t>
  </si>
  <si>
    <t xml:space="preserve">Revisions in the title block only, not in the part number. Numeric (1, 2, 3) pre-release; letters (A, B, C) for release. No I or O.</t>
  </si>
  <si>
    <t xml:space="preserve">A change that affects fit or form gets a new part number, not a revision.</t>
  </si>
  <si>
    <t xml:space="preserve">End caps are not numbered - covered by a standard detail with a cap table by section size.</t>
  </si>
  <si>
    <t xml:space="preserve">Format part number columns as Text in Excel - scene 00 place tags (e.g. 00040) lose leading zeros otherwise.</t>
  </si>
  <si>
    <t xml:space="preserve">PL (Standard Plate) and LP (LED Plate) are the same letters reversed - check for swaps.</t>
  </si>
  <si>
    <t xml:space="preserve">K Beam (KBA) is by others (GC) - mark BY OTHERS on drawings and schedules.</t>
  </si>
  <si>
    <t xml:space="preserve">Letters by field - Shaft: A B C Z X 0.  SFA position: T B X.  Hand: L R.  The same letter never means two things in the same position.</t>
  </si>
  <si>
    <t xml:space="preserve">LED panel SKUs and the ghost carts are not steel and are outside this standard.</t>
  </si>
  <si>
    <t xml:space="preserve">Categories</t>
  </si>
  <si>
    <t xml:space="preserve">Code</t>
  </si>
  <si>
    <t xml:space="preserve">Assembly</t>
  </si>
  <si>
    <t xml:space="preserve">Weldment</t>
  </si>
  <si>
    <t xml:space="preserve">Part</t>
  </si>
  <si>
    <t xml:space="preserve">Notes</t>
  </si>
  <si>
    <t xml:space="preserve">Header Beam</t>
  </si>
  <si>
    <t xml:space="preserve">HB</t>
  </si>
  <si>
    <t xml:space="preserve">HBA</t>
  </si>
  <si>
    <t xml:space="preserve">HBW</t>
  </si>
  <si>
    <t xml:space="preserve">HBP</t>
  </si>
  <si>
    <t xml:space="preserve">Beams at the top, attached to the roof structure; panels hang from them (was 'tie beam')</t>
  </si>
  <si>
    <t xml:space="preserve">K Beam</t>
  </si>
  <si>
    <t xml:space="preserve">KB</t>
  </si>
  <si>
    <t xml:space="preserve">KBA</t>
  </si>
  <si>
    <t xml:space="preserve">-</t>
  </si>
  <si>
    <t xml:space="preserve">By others (GC scope). Reference only - not fabricated by us</t>
  </si>
  <si>
    <t xml:space="preserve">Subframe</t>
  </si>
  <si>
    <t xml:space="preserve">SF</t>
  </si>
  <si>
    <t xml:space="preserve">SFA</t>
  </si>
  <si>
    <t xml:space="preserve">SFW</t>
  </si>
  <si>
    <t xml:space="preserve">SFP</t>
  </si>
  <si>
    <t xml:space="preserve">Only category using the T / B / X position code</t>
  </si>
  <si>
    <t xml:space="preserve">LED Member</t>
  </si>
  <si>
    <t xml:space="preserve">LM</t>
  </si>
  <si>
    <t xml:space="preserve">LMA</t>
  </si>
  <si>
    <t xml:space="preserve">LMW</t>
  </si>
  <si>
    <t xml:space="preserve">LMP</t>
  </si>
  <si>
    <t xml:space="preserve">Members with LED plates welded on; panels bolt to these</t>
  </si>
  <si>
    <t xml:space="preserve">LED Plate</t>
  </si>
  <si>
    <t xml:space="preserve">LP</t>
  </si>
  <si>
    <t xml:space="preserve">LPP</t>
  </si>
  <si>
    <t xml:space="preserve">LED mounting plates</t>
  </si>
  <si>
    <t xml:space="preserve">Standard Plate</t>
  </si>
  <si>
    <t xml:space="preserve">PL</t>
  </si>
  <si>
    <t xml:space="preserve">PLP</t>
  </si>
  <si>
    <t xml:space="preserve">Floor, splice, base and connection plates, cleats, gussets</t>
  </si>
  <si>
    <t xml:space="preserve">Brace</t>
  </si>
  <si>
    <t xml:space="preserve">BR</t>
  </si>
  <si>
    <t xml:space="preserve">BRA</t>
  </si>
  <si>
    <t xml:space="preserve">BRW</t>
  </si>
  <si>
    <t xml:space="preserve">BRP</t>
  </si>
  <si>
    <t xml:space="preserve">A = bolted brace (capped RHS with holes). P = welded-in brace</t>
  </si>
  <si>
    <t xml:space="preserve">Diagonal Brace</t>
  </si>
  <si>
    <t xml:space="preserve">DB</t>
  </si>
  <si>
    <t xml:space="preserve">DBA</t>
  </si>
  <si>
    <t xml:space="preserve">DBW</t>
  </si>
  <si>
    <t xml:space="preserve">DBP</t>
  </si>
  <si>
    <t xml:space="preserve">Same A / W / P logic as Brace</t>
  </si>
  <si>
    <t xml:space="preserve">Bracket</t>
  </si>
  <si>
    <t xml:space="preserve">BK</t>
  </si>
  <si>
    <t xml:space="preserve">BKA</t>
  </si>
  <si>
    <t xml:space="preserve">BKW</t>
  </si>
  <si>
    <t xml:space="preserve">BKP</t>
  </si>
  <si>
    <t xml:space="preserve">Packers / Shims</t>
  </si>
  <si>
    <t xml:space="preserve">PK</t>
  </si>
  <si>
    <t xml:space="preserve">PKP</t>
  </si>
  <si>
    <t xml:space="preserve">Normally STOCK</t>
  </si>
  <si>
    <t xml:space="preserve">Fastener Kit</t>
  </si>
  <si>
    <t xml:space="preserve">FS</t>
  </si>
  <si>
    <t xml:space="preserve">Bagged bolt set for one connection. Individual fasteners use FAST- spec names (Fasteners tab)</t>
  </si>
  <si>
    <t xml:space="preserve">Miscellaneous Steel</t>
  </si>
  <si>
    <t xml:space="preserve">MS</t>
  </si>
  <si>
    <t xml:space="preserve">MSA</t>
  </si>
  <si>
    <t xml:space="preserve">MSW</t>
  </si>
  <si>
    <t xml:space="preserve">MSP</t>
  </si>
  <si>
    <t xml:space="preserve">Catch-all for one-offs. About three similar items = give them their own category</t>
  </si>
  <si>
    <t xml:space="preserve">Place, Shaft and Number Codes</t>
  </si>
  <si>
    <t xml:space="preserve">Field</t>
  </si>
  <si>
    <t xml:space="preserve">Meaning</t>
  </si>
  <si>
    <t xml:space="preserve">Example</t>
  </si>
  <si>
    <t xml:space="preserve">Shaft</t>
  </si>
  <si>
    <t xml:space="preserve">A / B / C</t>
  </si>
  <si>
    <t xml:space="preserve">That shaft only</t>
  </si>
  <si>
    <t xml:space="preserve">08A04</t>
  </si>
  <si>
    <t xml:space="preserve">Z</t>
  </si>
  <si>
    <t xml:space="preserve">Shafts B and C (the only two-shaft combination on the job)</t>
  </si>
  <si>
    <t xml:space="preserve">08Z11</t>
  </si>
  <si>
    <t xml:space="preserve">X</t>
  </si>
  <si>
    <t xml:space="preserve">All shafts (A, B and C)</t>
  </si>
  <si>
    <t xml:space="preserve">08X04</t>
  </si>
  <si>
    <t xml:space="preserve">0</t>
  </si>
  <si>
    <t xml:space="preserve">Scene has no shafts (scenes 00 and 12)</t>
  </si>
  <si>
    <t xml:space="preserve">12001</t>
  </si>
  <si>
    <t xml:space="preserve">Screen</t>
  </si>
  <si>
    <t xml:space="preserve">01 - 99</t>
  </si>
  <si>
    <t xml:space="preserve">One screen type</t>
  </si>
  <si>
    <t xml:space="preserve">08A11-HBA-01</t>
  </si>
  <si>
    <t xml:space="preserve">XX</t>
  </si>
  <si>
    <t xml:space="preserve">More than one screen type in the scene</t>
  </si>
  <si>
    <t xml:space="preserve">Used in more than one scene - job-wide library</t>
  </si>
  <si>
    <t xml:space="preserve">SSxxH</t>
  </si>
  <si>
    <t xml:space="preserve">Structure tag for a named / handed structure, H = L or R</t>
  </si>
  <si>
    <t xml:space="preserve">08MGL-SFA-1T</t>
  </si>
  <si>
    <t xml:space="preserve">Type</t>
  </si>
  <si>
    <t xml:space="preserve">A / W / P</t>
  </si>
  <si>
    <t xml:space="preserve">Assembly (ships) / Weldment (welded stage, factory only) / Part</t>
  </si>
  <si>
    <t xml:space="preserve">Within place + category</t>
  </si>
  <si>
    <t xml:space="preserve">Number (SFA)</t>
  </si>
  <si>
    <t xml:space="preserve">1-9 + T / B / X</t>
  </si>
  <si>
    <t xml:space="preserve">Subframe 1-9, Top / Bottom / one piece</t>
  </si>
  <si>
    <t xml:space="preserve">Number (family)</t>
  </si>
  <si>
    <t xml:space="preserve">Configuration name inside a family file</t>
  </si>
  <si>
    <t xml:space="preserve">STOCK-BRP-07</t>
  </si>
  <si>
    <t xml:space="preserve">LS Screen Type to Place Tag</t>
  </si>
  <si>
    <t xml:space="preserve">Place Tag is a formula. This is the tag of the LED screen. Structure parts take the shaft letter they actually fit (A, B, C, Z or X) - see Structure Register.</t>
  </si>
  <si>
    <t xml:space="preserve">LS Type</t>
  </si>
  <si>
    <t xml:space="preserve">Scene (SS)</t>
  </si>
  <si>
    <t xml:space="preserve">Shaft (E)</t>
  </si>
  <si>
    <t xml:space="preserve">Screen (NN)</t>
  </si>
  <si>
    <t xml:space="preserve">Place Tag (LS)</t>
  </si>
  <si>
    <t xml:space="preserve">Note</t>
  </si>
  <si>
    <t xml:space="preserve">LS-00-04</t>
  </si>
  <si>
    <t xml:space="preserve">00</t>
  </si>
  <si>
    <t xml:space="preserve">04</t>
  </si>
  <si>
    <t xml:space="preserve">LS-00-06</t>
  </si>
  <si>
    <t xml:space="preserve">06</t>
  </si>
  <si>
    <t xml:space="preserve">LS-00-07</t>
  </si>
  <si>
    <t xml:space="preserve">07</t>
  </si>
  <si>
    <t xml:space="preserve">LS-07ABC-01</t>
  </si>
  <si>
    <t xml:space="preserve">01</t>
  </si>
  <si>
    <t xml:space="preserve">LS-07ABC-02</t>
  </si>
  <si>
    <t xml:space="preserve">02</t>
  </si>
  <si>
    <t xml:space="preserve">LS-07ABC-03</t>
  </si>
  <si>
    <t xml:space="preserve">03</t>
  </si>
  <si>
    <t xml:space="preserve">LS-07ABC-04</t>
  </si>
  <si>
    <t xml:space="preserve">LS-07ABC-05</t>
  </si>
  <si>
    <t xml:space="preserve">05</t>
  </si>
  <si>
    <t xml:space="preserve">LS-07ABC-06</t>
  </si>
  <si>
    <t xml:space="preserve">LS-08BC-02</t>
  </si>
  <si>
    <t xml:space="preserve">08</t>
  </si>
  <si>
    <t xml:space="preserve">MacGuffin - structure uses 08MGL / 08MGR (handed)</t>
  </si>
  <si>
    <t xml:space="preserve">LS-08BC-03</t>
  </si>
  <si>
    <t xml:space="preserve">LS-08A-04</t>
  </si>
  <si>
    <t xml:space="preserve">A</t>
  </si>
  <si>
    <t xml:space="preserve">LS-08B-04</t>
  </si>
  <si>
    <t xml:space="preserve">B</t>
  </si>
  <si>
    <t xml:space="preserve">LS-08C-04</t>
  </si>
  <si>
    <t xml:space="preserve">C</t>
  </si>
  <si>
    <t xml:space="preserve">LS-08BC-06</t>
  </si>
  <si>
    <t xml:space="preserve">LS-08ABC-07</t>
  </si>
  <si>
    <t xml:space="preserve">Models have 08A and 08BC versions</t>
  </si>
  <si>
    <t xml:space="preserve">LS-08ABC-10</t>
  </si>
  <si>
    <t xml:space="preserve">10</t>
  </si>
  <si>
    <t xml:space="preserve">LS-08BC-11</t>
  </si>
  <si>
    <t xml:space="preserve">11</t>
  </si>
  <si>
    <t xml:space="preserve">Models also contain LS-08A-11. LS list or model to be corrected.</t>
  </si>
  <si>
    <t xml:space="preserve">LS-09A-01</t>
  </si>
  <si>
    <t xml:space="preserve">09</t>
  </si>
  <si>
    <t xml:space="preserve">LS-09BC-01</t>
  </si>
  <si>
    <t xml:space="preserve">LS-10A-01</t>
  </si>
  <si>
    <t xml:space="preserve">LS-10A-02</t>
  </si>
  <si>
    <t xml:space="preserve">LS-10A-03</t>
  </si>
  <si>
    <t xml:space="preserve">LS-10BC-01</t>
  </si>
  <si>
    <t xml:space="preserve">LS-10BC-02</t>
  </si>
  <si>
    <t xml:space="preserve">LS-10BC-03</t>
  </si>
  <si>
    <t xml:space="preserve">LS-12-01</t>
  </si>
  <si>
    <t xml:space="preserve">12</t>
  </si>
  <si>
    <t xml:space="preserve">Structure Register - SC08 (draft from SC08 BOM, to be confirmed by James)</t>
  </si>
  <si>
    <t xml:space="preserve">Structure tag</t>
  </si>
  <si>
    <t xml:space="preserve">Top-level assembly</t>
  </si>
  <si>
    <t xml:space="preserve">Supports LS screen(s)</t>
  </si>
  <si>
    <t xml:space="preserve">Shafts</t>
  </si>
  <si>
    <t xml:space="preserve">Handed</t>
  </si>
  <si>
    <t xml:space="preserve">Current file</t>
  </si>
  <si>
    <t xml:space="preserve">08A04 structure</t>
  </si>
  <si>
    <t xml:space="preserve">LS-08A-04_WITH_STRUCTUREv4</t>
  </si>
  <si>
    <t xml:space="preserve">Rooms differ per shaft</t>
  </si>
  <si>
    <t xml:space="preserve">08B04</t>
  </si>
  <si>
    <t xml:space="preserve">08B04 structure</t>
  </si>
  <si>
    <t xml:space="preserve">LS-08B-04_WITH_STRUCTUREv4</t>
  </si>
  <si>
    <t xml:space="preserve">08C04</t>
  </si>
  <si>
    <t xml:space="preserve">08C04 structure</t>
  </si>
  <si>
    <t xml:space="preserve">LS-08C-04_WITH_STRUCTUREv4</t>
  </si>
  <si>
    <t xml:space="preserve">08Z04</t>
  </si>
  <si>
    <t xml:space="preserve">(parts only)</t>
  </si>
  <si>
    <t xml:space="preserve">LS-08B-04, LS-08C-04</t>
  </si>
  <si>
    <t xml:space="preserve">B, C</t>
  </si>
  <si>
    <t xml:space="preserve">Parts common to B and C e.g. side walls, rear wall</t>
  </si>
  <si>
    <t xml:space="preserve">LS-08A/B/C-04</t>
  </si>
  <si>
    <t xml:space="preserve">A, B, C</t>
  </si>
  <si>
    <t xml:space="preserve">LS-08X-04\FRAME\_Shared</t>
  </si>
  <si>
    <t xml:space="preserve">Parts common to all three</t>
  </si>
  <si>
    <t xml:space="preserve">08A06</t>
  </si>
  <si>
    <t xml:space="preserve">08A06 structure</t>
  </si>
  <si>
    <t xml:space="preserve">LS-08BC-06 (A)</t>
  </si>
  <si>
    <t xml:space="preserve">LS-08A-06 SCREEN+STRUCTURE</t>
  </si>
  <si>
    <t xml:space="preserve">08B06</t>
  </si>
  <si>
    <t xml:space="preserve">08B06 structure</t>
  </si>
  <si>
    <t xml:space="preserve">LS-08B-06 SCREEN+STRUCTURE</t>
  </si>
  <si>
    <t xml:space="preserve">08C06</t>
  </si>
  <si>
    <t xml:space="preserve">08C06 structure</t>
  </si>
  <si>
    <t xml:space="preserve">LS-08C-06 SCREEN+STRUCTURE</t>
  </si>
  <si>
    <t xml:space="preserve">08A07</t>
  </si>
  <si>
    <t xml:space="preserve">08A07 structure</t>
  </si>
  <si>
    <t xml:space="preserve">LS-08A-07v2 + STRUCTURE</t>
  </si>
  <si>
    <t xml:space="preserve">08Z07</t>
  </si>
  <si>
    <t xml:space="preserve">08Z07 structure</t>
  </si>
  <si>
    <t xml:space="preserve">LS-08BC-07-FRAME+SCREEN</t>
  </si>
  <si>
    <t xml:space="preserve">B and C identical. Currently references LS-08X-07_old - relink</t>
  </si>
  <si>
    <t xml:space="preserve">08A11</t>
  </si>
  <si>
    <t xml:space="preserve">08A11 structure</t>
  </si>
  <si>
    <t xml:space="preserve">LS-08BC-11 (A)</t>
  </si>
  <si>
    <t xml:space="preserve">LS-08A-11 - SCREEN + STRUCTURE</t>
  </si>
  <si>
    <t xml:space="preserve">Mirror of Z parts</t>
  </si>
  <si>
    <t xml:space="preserve">08B11</t>
  </si>
  <si>
    <t xml:space="preserve">08B11 structure</t>
  </si>
  <si>
    <t xml:space="preserve">LS-08B-11 - SCREEN + STRUCTURE</t>
  </si>
  <si>
    <t xml:space="preserve">Header beams differ from C</t>
  </si>
  <si>
    <t xml:space="preserve">08C11</t>
  </si>
  <si>
    <t xml:space="preserve">08C11 structure</t>
  </si>
  <si>
    <t xml:space="preserve">LS-08C-11 - SCREEN + STRUCTURE</t>
  </si>
  <si>
    <t xml:space="preserve">Subframes common to B and C</t>
  </si>
  <si>
    <t xml:space="preserve">MacGuffin LH</t>
  </si>
  <si>
    <t xml:space="preserve">LS-08BC-02 / 03</t>
  </si>
  <si>
    <t xml:space="preserve">L</t>
  </si>
  <si>
    <t xml:space="preserve">LS-08-XX_MACGUFFIN (LH)</t>
  </si>
  <si>
    <t xml:space="preserve">Handed steel. One used per shaft</t>
  </si>
  <si>
    <t xml:space="preserve">08MGR</t>
  </si>
  <si>
    <t xml:space="preserve">MacGuffin RH</t>
  </si>
  <si>
    <t xml:space="preserve">R</t>
  </si>
  <si>
    <t xml:space="preserve">LS-08-XX_MACGUFFIN (LH) ?</t>
  </si>
  <si>
    <t xml:space="preserve">Both BOM top-levels are named (LH) - confirm which is RH</t>
  </si>
  <si>
    <t xml:space="preserve">08XXX</t>
  </si>
  <si>
    <t xml:space="preserve">More than one SC08 screen</t>
  </si>
  <si>
    <t xml:space="preserve">SC08\_Shared</t>
  </si>
  <si>
    <t xml:space="preserve">Tie beam end plates, posts, interface plates</t>
  </si>
  <si>
    <t xml:space="preserve">08BXX</t>
  </si>
  <si>
    <t xml:space="preserve">LS-08BC-06, LS-08BC-11</t>
  </si>
  <si>
    <t xml:space="preserve">SHAFTB_EXP_JOINT_BRACKET_FOR_CONCRETE_BEAM</t>
  </si>
  <si>
    <t xml:space="preserve">All scenes</t>
  </si>
  <si>
    <t xml:space="preserve">311v3\_Shared</t>
  </si>
  <si>
    <t xml:space="preserve">Packer, SHS members, 80x40 ties, floor plate, LED cabinet plate (confirm used outside SC08)</t>
  </si>
  <si>
    <t xml:space="preserve">SolidWorks files, folders and configurations</t>
  </si>
  <si>
    <t xml:space="preserve">Rule</t>
  </si>
  <si>
    <t xml:space="preserve">Detail</t>
  </si>
  <si>
    <t xml:space="preserve">PartNo property</t>
  </si>
  <si>
    <t xml:space="preserve">Every part, assembly and configuration carries its part number in the PartNo custom property (configuration-specific). All BOMs use PartNo as the part number column.</t>
  </si>
  <si>
    <t xml:space="preserve">Single part</t>
  </si>
  <si>
    <t xml:space="preserve">File name = part number. e.g. 08A11-SFA-1T.SLDASM, PartNo = 08A11-SFA-1T</t>
  </si>
  <si>
    <t xml:space="preserve">Family file</t>
  </si>
  <si>
    <t xml:space="preserve">One file with several configurations. File name = place + category, e.g. 08X04-LMW.SLDASM. Configuration name = nn. PartNo = 08X04-LMW-01, 08X04-LMW-02 ...</t>
  </si>
  <si>
    <t xml:space="preserve">Family limit</t>
  </si>
  <si>
    <t xml:space="preserve">All configurations in a family share one place tag and one folder. A family must not hold parts for different screens or shafts. LCMM_40x80x8_SC08 (configs for screens 04, 06 and 11) is to be split into 08X04-LMW, 08X06-LMW, 08X11-LMW.</t>
  </si>
  <si>
    <t xml:space="preserve">Stock family</t>
  </si>
  <si>
    <t xml:space="preserve">Generic lengths of one section are one STOCK family, e.g. STOCK-BRP with configs 01..nn for each tie length.</t>
  </si>
  <si>
    <t xml:space="preserve">Folder = place</t>
  </si>
  <si>
    <t xml:space="preserve">The folder a file lives in is its place tag. Screen folders hold ShaftA / ShaftB / ShaftC / ShaftBC / _Shared(X) subfolders. SC08\_Shared = 08XXX. STOCK = job-wide.</t>
  </si>
  <si>
    <t xml:space="preserve">Top-level assemblies</t>
  </si>
  <si>
    <t xml:space="preserve">One structure assembly per room (08A11, 08B11, 08C11 ...) at the screen folder root. Registered in the Structure Register.</t>
  </si>
  <si>
    <t xml:space="preserve">Virtual parts</t>
  </si>
  <si>
    <t xml:space="preserve">Parts saved inside an assembly (name contains ^) must be saved to their own file before they can be numbered.</t>
  </si>
  <si>
    <t xml:space="preserve">Renaming</t>
  </si>
  <si>
    <t xml:space="preserve">Never rename in Explorer or Dropbox. Use SolidWorks Rename or Pack and Go, with every file checked in. Renames happen once, at the PDM load.</t>
  </si>
  <si>
    <t xml:space="preserve">Old / PnG folders</t>
  </si>
  <si>
    <t xml:space="preserve">old_versions, _old, PnG and PacknGo folders are not referenced by live assemblies except LS-08BC-07 (to be relinked). They are excluded from the PDM load.</t>
  </si>
  <si>
    <t xml:space="preserve">Library edits</t>
  </si>
  <si>
    <t xml:space="preserve">STOCK and _Shared files change every screen that uses them. One nominated owner edits them; everyone else read-only.</t>
  </si>
  <si>
    <t xml:space="preserve">Fasteners - bought-in items identified by specification</t>
  </si>
  <si>
    <t xml:space="preserve">Format</t>
  </si>
  <si>
    <t xml:space="preserve">FAST-&lt;type&gt;-&lt;size&gt;-&lt;grade&gt;-&lt;finish or material&gt;</t>
  </si>
  <si>
    <t xml:space="preserve">FAST-HEX-M20x35-8.8-HDG</t>
  </si>
  <si>
    <t xml:space="preserve">type</t>
  </si>
  <si>
    <t xml:space="preserve">HEX bolt, CSK countersunk, SKT socket head, NUT hex nut, WSH flat washer, SPW spring washer, or the Hilti product code (HST3-R, HUS3)</t>
  </si>
  <si>
    <t xml:space="preserve">FAST-CSK-M8x20-A2</t>
  </si>
  <si>
    <t xml:space="preserve">size</t>
  </si>
  <si>
    <t xml:space="preserve">Diameter x length, lowercase x, no spaces. Nuts and washers: diameter only</t>
  </si>
  <si>
    <t xml:space="preserve">FAST-NUT-M20-8-HDG</t>
  </si>
  <si>
    <t xml:space="preserve">grade</t>
  </si>
  <si>
    <t xml:space="preserve">8.8, 10.9, A2, A4 - no G prefix. Nuts: 8, 10. Washers: omit</t>
  </si>
  <si>
    <t xml:space="preserve">FAST-WSH-M20-HDG</t>
  </si>
  <si>
    <t xml:space="preserve">finish</t>
  </si>
  <si>
    <t xml:space="preserve">Always present for carbon steel: HDG hot-dip galv, ZP zinc plated, BLK black. Stainless: material (A2 / A4) is the last field</t>
  </si>
  <si>
    <t xml:space="preserve">FAST-SPW-M20-HDG</t>
  </si>
  <si>
    <t xml:space="preserve">Hilti</t>
  </si>
  <si>
    <t xml:space="preserve">Hilti product code as the type, material last. Job anchors are HST3-R (stainless A4). Plain HST3 is carbon steel ZP - not used</t>
  </si>
  <si>
    <t xml:space="preserve">FAST-HST3-R-M12x115-A4</t>
  </si>
  <si>
    <t xml:space="preserve">Kits</t>
  </si>
  <si>
    <t xml:space="preserve">A bagged bolt set for one connection is our own assembly: normal format, category FS, type A</t>
  </si>
  <si>
    <t xml:space="preserve">STOCK-FSA-01, 08X04-FSA-01</t>
  </si>
  <si>
    <t xml:space="preserve">Folder</t>
  </si>
  <si>
    <t xml:space="preserve">One _Fasteners folder under STOCK. Every assembly references that copy. Duplicate fastener folders to be consolidated at the PDM load</t>
  </si>
  <si>
    <t xml:space="preserve">Spelling</t>
  </si>
  <si>
    <t xml:space="preserve">One spelling per fastener or SolidWorks counts it as two items. Check the list before creating a new one</t>
  </si>
  <si>
    <t xml:space="preserve">Worked Examples (from the SC08 BOM)</t>
  </si>
  <si>
    <t xml:space="preserve">Part Number is a formula = Place &amp; Cat+Type &amp; No. - change the inputs to try other numbers.</t>
  </si>
  <si>
    <t xml:space="preserve">Cat + Type</t>
  </si>
  <si>
    <t xml:space="preserve">No.</t>
  </si>
  <si>
    <t xml:space="preserve">Part Number</t>
  </si>
  <si>
    <t xml:space="preserve">Current file / config</t>
  </si>
  <si>
    <t xml:space="preserve">Description</t>
  </si>
  <si>
    <t xml:space="preserve">1T</t>
  </si>
  <si>
    <t xml:space="preserve">LS-08A-11_SF01-UPPER</t>
  </si>
  <si>
    <t xml:space="preserve">Subframe assembly 1, top - shaft A (mirror of 08Z11-SFA-1T)</t>
  </si>
  <si>
    <t xml:space="preserve">LS-08B-11_SF01-UPPER + LS-08C-11_SF01-UPPER</t>
  </si>
  <si>
    <t xml:space="preserve">Subframe assembly 1, top - shafts B and C (one file, qty 2)</t>
  </si>
  <si>
    <t xml:space="preserve">1B</t>
  </si>
  <si>
    <t xml:space="preserve">LS-08B-11_SF01-LOWER</t>
  </si>
  <si>
    <t xml:space="preserve">Subframe assembly 1, bottom - shafts B and C</t>
  </si>
  <si>
    <t xml:space="preserve">LS-08A-11-TIE_BEAM_1</t>
  </si>
  <si>
    <t xml:space="preserve">Header beam assembly 1, shaft A</t>
  </si>
  <si>
    <t xml:space="preserve">LS-08A-11_TIE_BEAM_1_MAIN_MEMBERS</t>
  </si>
  <si>
    <t xml:space="preserve">Welded frame inside header beam 1</t>
  </si>
  <si>
    <t xml:space="preserve">LS-08B-11-TIE_BEAM_1</t>
  </si>
  <si>
    <t xml:space="preserve">Header beam assembly 1, shaft B (differs from C)</t>
  </si>
  <si>
    <t xml:space="preserve">LS-08X-04 KBEAM SPLICE PLATE</t>
  </si>
  <si>
    <t xml:space="preserve">Splice plate, screen 04, all shafts</t>
  </si>
  <si>
    <t xml:space="preserve">LS-08X-04_KBEAM_BRACKET (asm)</t>
  </si>
  <si>
    <t xml:space="preserve">K-beam bracket assembly, screen 04, all shafts</t>
  </si>
  <si>
    <t xml:space="preserve">LS-08X-04_KBEAM_BRACKET (prt)</t>
  </si>
  <si>
    <t xml:space="preserve">K-beam bracket part</t>
  </si>
  <si>
    <t xml:space="preserve">LS-08X-04 KBEAM EA THERMAL EXP BOLT ASSY</t>
  </si>
  <si>
    <t xml:space="preserve">Bolt kit, K-beam expansion joint</t>
  </si>
  <si>
    <t xml:space="preserve">1X</t>
  </si>
  <si>
    <t xml:space="preserve">LS-08BC-04 LH Side Wall</t>
  </si>
  <si>
    <t xml:space="preserve">Side wall frame, one piece, shafts B and C</t>
  </si>
  <si>
    <t xml:space="preserve">LCMM_40x80x8_SC08 config LMW-S01-0804X</t>
  </si>
  <si>
    <t xml:space="preserve">LED member weldment 01 - family file 08X04-LMW, config 01</t>
  </si>
  <si>
    <t xml:space="preserve">LS-08X-X_TIE_BEAM_END_PLATE</t>
  </si>
  <si>
    <t xml:space="preserve">Tie beam end plate, several SC08 screens</t>
  </si>
  <si>
    <t xml:space="preserve">LS-08X-X_TIE_BEAM_POST config 01</t>
  </si>
  <si>
    <t xml:space="preserve">Tie beam post weldment, family 08XXX-HBW</t>
  </si>
  <si>
    <t xml:space="preserve">Bracket on screens 06 and 11, shaft B only</t>
  </si>
  <si>
    <t xml:space="preserve">LS-08-XX_MACGUFFIN SUBFRAME (LEFT)</t>
  </si>
  <si>
    <t xml:space="preserve">MacGuffin subframe, left hand</t>
  </si>
  <si>
    <t xml:space="preserve">MacGuffin subframe, right hand (own number - handed)</t>
  </si>
  <si>
    <t xml:space="preserve">PACKER</t>
  </si>
  <si>
    <t xml:space="preserve">Plastic packer</t>
  </si>
  <si>
    <t xml:space="preserve">TIE_80x40x8 config 960W</t>
  </si>
  <si>
    <t xml:space="preserve">80x40x8 tie, 960 long - family STOCK-BRP, config 07</t>
  </si>
  <si>
    <t xml:space="preserve">PLATE_LED_CABINET config DT</t>
  </si>
  <si>
    <t xml:space="preserve">LED mount plate - family STOCK-LPP</t>
  </si>
  <si>
    <t xml:space="preserve">TIE_BEAM_ENDPLATE_BOLTS</t>
  </si>
  <si>
    <t xml:space="preserve">Bolt kit, tie beam end plate</t>
  </si>
  <si>
    <t xml:space="preserve">LS-08A-04_KBEAM_S1</t>
  </si>
  <si>
    <t xml:space="preserve">K beam section 1 - BY OTHERS (GC), reference only</t>
  </si>
  <si>
    <t xml:space="preserve">Rename Register - SC08 steel items (file names, configurations ignored)</t>
  </si>
  <si>
    <t xml:space="preserve">Place from where-used in the SC08 BOM. Category and type are guessed from the file name - check column. Numbers allocated in alphabetical order within each place + category; SFA numbers taken from the SFxx-UPPER/LOWER name. Proposed PartNo is a formula.</t>
  </si>
  <si>
    <t xml:space="preserve">Current file name</t>
  </si>
  <si>
    <t xml:space="preserve">ASM / PRT</t>
  </si>
  <si>
    <t xml:space="preserve">Screens used</t>
  </si>
  <si>
    <t xml:space="preserve">Shafts used</t>
  </si>
  <si>
    <t xml:space="preserve">Cat</t>
  </si>
  <si>
    <t xml:space="preserve">Proposed PartNo</t>
  </si>
  <si>
    <t xml:space="preserve">Current folder (311v3\...)</t>
  </si>
  <si>
    <t xml:space="preserve">Note / check</t>
  </si>
  <si>
    <t xml:space="preserve">James OK?</t>
  </si>
  <si>
    <t xml:space="preserve">0807-STAIR-SUBASSY</t>
  </si>
  <si>
    <t xml:space="preserve">PRT</t>
  </si>
  <si>
    <t xml:space="preserve">BC</t>
  </si>
  <si>
    <t xml:space="preserve">W</t>
  </si>
  <si>
    <t xml:space="preserve">Screen Models/311v3/SC08/LS-08X-07_old/structure</t>
  </si>
  <si>
    <t xml:space="preserve">only exists in old folder</t>
  </si>
  <si>
    <t xml:space="preserve">60x40-JOIN</t>
  </si>
  <si>
    <t xml:space="preserve">P</t>
  </si>
  <si>
    <t xml:space="preserve">cross_brace</t>
  </si>
  <si>
    <t xml:space="preserve">Default</t>
  </si>
  <si>
    <t xml:space="preserve">ASM</t>
  </si>
  <si>
    <t xml:space="preserve">configuration name leaked into BOM - identify the file</t>
  </si>
  <si>
    <t xml:space="preserve">EA40X40X5</t>
  </si>
  <si>
    <t xml:space="preserve">EA_Plywood_Mount_Assy_LS-08-XX_MACGUFFIN</t>
  </si>
  <si>
    <t xml:space="preserve">MG</t>
  </si>
  <si>
    <t xml:space="preserve">Screen Models/311v3/SC08/LS-08X-02/FRAME/_Shared</t>
  </si>
  <si>
    <t xml:space="preserve">MacGuffin - LH assumed; RH set needs its own 08MGR numbers; file to move - see reconciliation</t>
  </si>
  <si>
    <t xml:space="preserve">KBEAM_ASSY_SHAFTAv2</t>
  </si>
  <si>
    <t xml:space="preserve">Screen Models/311v3/SC08/LS-08X-04/FRAME/ShaftA</t>
  </si>
  <si>
    <t xml:space="preserve">by others (GC) - reference</t>
  </si>
  <si>
    <t xml:space="preserve">KBEAM_ASSY_SHAFTBv2</t>
  </si>
  <si>
    <t xml:space="preserve">Screen Models/311v3/SC08/LS-08X-04/FRAME/ShaftB</t>
  </si>
  <si>
    <t xml:space="preserve">KBEAM_ASSY_SHAFTC v2</t>
  </si>
  <si>
    <t xml:space="preserve">Screen Models/311v3/SC08/LS-08X-04/FRAME/ShaftC</t>
  </si>
  <si>
    <t xml:space="preserve">LCMM_40x40x4_0804</t>
  </si>
  <si>
    <t xml:space="preserve">ABC</t>
  </si>
  <si>
    <t xml:space="preserve">Screen Models/311v3/_Shared</t>
  </si>
  <si>
    <t xml:space="preserve">family of LED member weldments - see Configurations tab; file to move - see reconciliation</t>
  </si>
  <si>
    <t xml:space="preserve">LCMM_40x80x8_SC08</t>
  </si>
  <si>
    <t xml:space="preserve">040611</t>
  </si>
  <si>
    <t xml:space="preserve">family of LED member weldments - see Configurations tab; CONFIGURED FILE - numbers per configuration on the Configurations tab override this row; file to move - see reconciliation</t>
  </si>
  <si>
    <t xml:space="preserve">LOWER_BRACE^LS-08A-04_SF01</t>
  </si>
  <si>
    <t xml:space="preserve">virtual component - save to external file first</t>
  </si>
  <si>
    <t xml:space="preserve">LOWER_BRACE^LS-08C-04_SF01</t>
  </si>
  <si>
    <t xml:space="preserve">MacGuffin - LH assumed; RH set needs its own 08MGR numbers; top-level structure assembly - number is the place tag</t>
  </si>
  <si>
    <t xml:space="preserve">LS-08-XX_MACGUFFIN_120X120_VERTICALS</t>
  </si>
  <si>
    <t xml:space="preserve">LS-08-XX_MACGUFFIN_SHS_VERTICAL_JOINER</t>
  </si>
  <si>
    <t xml:space="preserve">LS-08-XX_MACGUFFIN_SHS_VERTICAL_JOINER2</t>
  </si>
  <si>
    <t xml:space="preserve">LS-0807-SUB-ASSEMBLIES</t>
  </si>
  <si>
    <t xml:space="preserve">Screen Models/311v3/SC08/LS-08X-04</t>
  </si>
  <si>
    <t xml:space="preserve">top-level structure assembly - number is the place tag</t>
  </si>
  <si>
    <t xml:space="preserve">LS-08A-04 LH Side Wall</t>
  </si>
  <si>
    <t xml:space="preserve">Screen Models/311v3/SC08/LS-08X-04/SUB</t>
  </si>
  <si>
    <t xml:space="preserve">file to move - see reconciliation</t>
  </si>
  <si>
    <t xml:space="preserve">LS-08A-04 Rear Wall</t>
  </si>
  <si>
    <t xml:space="preserve">LS-08A-04 RH Side Wall</t>
  </si>
  <si>
    <t xml:space="preserve">LS-08A-04 Roof</t>
  </si>
  <si>
    <t xml:space="preserve">LS-08A-04_BEAM_SF02_TOP_80x40x8_WELDED</t>
  </si>
  <si>
    <t xml:space="preserve">LS-08A-04_BEAM_SF03_TOP_80x40x8_WELDED</t>
  </si>
  <si>
    <t xml:space="preserve">LS-08A-04_KBEAM_S2</t>
  </si>
  <si>
    <t xml:space="preserve">LS-08A-04_KBEAM_S3</t>
  </si>
  <si>
    <t xml:space="preserve">LS-08A-04_KBEAM_S4</t>
  </si>
  <si>
    <t xml:space="preserve">LS-08A-04_KBEAM_S5</t>
  </si>
  <si>
    <t xml:space="preserve">LS-08A-04_KBEAM_S6</t>
  </si>
  <si>
    <t xml:space="preserve">LS-08A-04_SF01</t>
  </si>
  <si>
    <t xml:space="preserve">LS-08A-04_SF02-LOWER</t>
  </si>
  <si>
    <t xml:space="preserve">2B</t>
  </si>
  <si>
    <t xml:space="preserve">LS-08A-04_SF02-UPPER</t>
  </si>
  <si>
    <t xml:space="preserve">2T</t>
  </si>
  <si>
    <t xml:space="preserve">LS-08A-04_SF02_TIE_CORNER_RIGHTANGLE</t>
  </si>
  <si>
    <t xml:space="preserve">Screen Models/311v3/SC08/LS-08X-04/FRAME/_Shared</t>
  </si>
  <si>
    <t xml:space="preserve">LS-08A-04_SF03-LOWER</t>
  </si>
  <si>
    <t xml:space="preserve">3B</t>
  </si>
  <si>
    <t xml:space="preserve">LS-08A-04_SF03-UPPER</t>
  </si>
  <si>
    <t xml:space="preserve">3T</t>
  </si>
  <si>
    <t xml:space="preserve">LS-08A-04_SF04</t>
  </si>
  <si>
    <t xml:space="preserve">4X</t>
  </si>
  <si>
    <t xml:space="preserve">LS-08A-04_SF05-LOWER</t>
  </si>
  <si>
    <t xml:space="preserve">5B</t>
  </si>
  <si>
    <t xml:space="preserve">LS-08A-04_SF05-UPPER</t>
  </si>
  <si>
    <t xml:space="preserve">5T</t>
  </si>
  <si>
    <t xml:space="preserve">LS-08A-04_Skeleton</t>
  </si>
  <si>
    <t xml:space="preserve">reference geometry - not a part, no number</t>
  </si>
  <si>
    <t xml:space="preserve">LS-08A-04_TIE_SF02_CORNER_80x40x8_WELDED</t>
  </si>
  <si>
    <t xml:space="preserve">Screen Models/311v3/SC08/LS-08X-06/Shaft A</t>
  </si>
  <si>
    <t xml:space="preserve">LS-08A-06_LOWER_STRUCTURE_MEMBERS</t>
  </si>
  <si>
    <t xml:space="preserve">LS-08A-06_SF01-LOWER</t>
  </si>
  <si>
    <t xml:space="preserve">LS-08A-06_SF01-UPPER</t>
  </si>
  <si>
    <t xml:space="preserve">LS-08A-06_SF02-UPPER</t>
  </si>
  <si>
    <t xml:space="preserve">LS-08A-06_SF02_03-CANTILEVERED_SUB_ASSSY</t>
  </si>
  <si>
    <t xml:space="preserve">08X06</t>
  </si>
  <si>
    <t xml:space="preserve">Screen Models/311v3/SC08/LS-08X-06</t>
  </si>
  <si>
    <t xml:space="preserve">LS-08A-06_SF03-UPPER</t>
  </si>
  <si>
    <t xml:space="preserve">LS-08A-06_SF04-LOWER</t>
  </si>
  <si>
    <t xml:space="preserve">4B</t>
  </si>
  <si>
    <t xml:space="preserve">LS-08A-06_SF04-UPPER</t>
  </si>
  <si>
    <t xml:space="preserve">4T</t>
  </si>
  <si>
    <t xml:space="preserve">LS-08A-06_SF05-LOWER</t>
  </si>
  <si>
    <t xml:space="preserve">LS-08A-06_TIE_BEAM_1</t>
  </si>
  <si>
    <t xml:space="preserve">LS-08A-06_TIE_BEAM_1_MAIN_MEMBERS</t>
  </si>
  <si>
    <t xml:space="preserve">LS-08A-06_TIE_BEAM_2</t>
  </si>
  <si>
    <t xml:space="preserve">LS-08A-06_TIE_BEAM_2_MAIN_MEMBERS</t>
  </si>
  <si>
    <t xml:space="preserve">LS-08A-06_TIE_BEAM_3</t>
  </si>
  <si>
    <t xml:space="preserve">LS-08A-06_TIE_BEAM_3_MAIN_MEMBERS</t>
  </si>
  <si>
    <t xml:space="preserve">LS-08A-07_SF01 (SAE END)</t>
  </si>
  <si>
    <t xml:space="preserve">Screen Models/311v3/SC08/LS-08X-07/FRAME/ShaftA</t>
  </si>
  <si>
    <t xml:space="preserve">LS-08A-07_SF02 (SAE MIDDLE)</t>
  </si>
  <si>
    <t xml:space="preserve">2X</t>
  </si>
  <si>
    <t xml:space="preserve">LS-08A-07_SF03 (MIDDLE)</t>
  </si>
  <si>
    <t xml:space="preserve">3X</t>
  </si>
  <si>
    <t xml:space="preserve">LS-08A-07_SF04 (NON SAE END)</t>
  </si>
  <si>
    <t xml:space="preserve">Screen Models/311v3/SC08/LS-08X-07</t>
  </si>
  <si>
    <t xml:space="preserve">Screen Models/311v3/SC08/LS-08X-11</t>
  </si>
  <si>
    <t xml:space="preserve">Screen Models/311v3/SC08/LS-08X-11/FRAME/ShaftA</t>
  </si>
  <si>
    <t xml:space="preserve">LS-08A-11-TIE_BEAM_2</t>
  </si>
  <si>
    <t xml:space="preserve">LS-08A-11-TIE_BEAM_3</t>
  </si>
  <si>
    <t xml:space="preserve">LS-08A-11_SF01-LOWER</t>
  </si>
  <si>
    <t xml:space="preserve">CONFIGURED FILE - numbers per configuration on the Configurations tab override this row</t>
  </si>
  <si>
    <t xml:space="preserve">LS-08A-11_SF02-LOWER</t>
  </si>
  <si>
    <t xml:space="preserve">LS-08A-11_SF02-UPPER</t>
  </si>
  <si>
    <t xml:space="preserve">LS-08A-11_SF03-LOWER</t>
  </si>
  <si>
    <t xml:space="preserve">LS-08A-11_SF03-UPPER</t>
  </si>
  <si>
    <t xml:space="preserve">LS-08A-11_TIE_BEAM_2</t>
  </si>
  <si>
    <t xml:space="preserve">LS-08A-11_TIE_BEAM_3</t>
  </si>
  <si>
    <t xml:space="preserve">LS-08ABC-02</t>
  </si>
  <si>
    <t xml:space="preserve">Screen Models/311v3/SC08/LS-08X-02</t>
  </si>
  <si>
    <t xml:space="preserve">LS-08ABC-06v2</t>
  </si>
  <si>
    <t xml:space="preserve">LS-08B-04 Roof</t>
  </si>
  <si>
    <t xml:space="preserve">LS-08B-04_BEAM_SF02_TOP_80x40x8_WELDED</t>
  </si>
  <si>
    <t xml:space="preserve">LS-08B-04_BEAM_SF03_TOP_80x40x8_WELDED</t>
  </si>
  <si>
    <t xml:space="preserve">LS-08B-04_KBEAM_S1</t>
  </si>
  <si>
    <t xml:space="preserve">LS-08B-04_KBEAM_S2</t>
  </si>
  <si>
    <t xml:space="preserve">LS-08B-04_KBEAM_S3</t>
  </si>
  <si>
    <t xml:space="preserve">LS-08B-04_KBEAM_S4</t>
  </si>
  <si>
    <t xml:space="preserve">LS-08B-04_KBEAM_S5</t>
  </si>
  <si>
    <t xml:space="preserve">LS-08B-04_KBEAM_S6</t>
  </si>
  <si>
    <t xml:space="preserve">LS-08B-04_LS-02_EA_EXP_BRACKET_ROOF_BRACKETv2</t>
  </si>
  <si>
    <t xml:space="preserve">LS-08B-04_RIGHT_HAND_SIDE_LED_PLATE_FOR_80X40</t>
  </si>
  <si>
    <t xml:space="preserve">LS-08B-04_SF02-LOWER</t>
  </si>
  <si>
    <t xml:space="preserve">LS-08B-04_SF02-UPPER</t>
  </si>
  <si>
    <t xml:space="preserve">LS-08B-04_SF02-UPPERv2</t>
  </si>
  <si>
    <t xml:space="preserve">SFA 2T already used at 08B04 - renumber</t>
  </si>
  <si>
    <t xml:space="preserve">LS-08B-04_SF02_TOP_40x40_STUB</t>
  </si>
  <si>
    <t xml:space="preserve">LS-08B-04_SF03_BRACE</t>
  </si>
  <si>
    <t xml:space="preserve">LS-08B-04_SF03_LOWER</t>
  </si>
  <si>
    <t xml:space="preserve">LS-08B-04_SF03_UPPER</t>
  </si>
  <si>
    <t xml:space="preserve">LS-08B-04_SF04</t>
  </si>
  <si>
    <t xml:space="preserve">LS-08B-04_SF05-LOWER</t>
  </si>
  <si>
    <t xml:space="preserve">LS-08B-04_SF05-UPPER</t>
  </si>
  <si>
    <t xml:space="preserve">LS-08B-04_TIE_SF02_CORNER_80x40x8_WELDED</t>
  </si>
  <si>
    <t xml:space="preserve">LS-08B-04_WITH_SCREEN</t>
  </si>
  <si>
    <t xml:space="preserve">Screen Models/311v3/SC08/LS-08X-06/Shaft B</t>
  </si>
  <si>
    <t xml:space="preserve">LS-08B-06_LOWER_STRUCTURE_MEMBERS</t>
  </si>
  <si>
    <t xml:space="preserve">LS-08B-06_SF01-LOWER</t>
  </si>
  <si>
    <t xml:space="preserve">LS-08B-06_SF01-UPPER</t>
  </si>
  <si>
    <t xml:space="preserve">LS-08B-06_SF02-UPPER</t>
  </si>
  <si>
    <t xml:space="preserve">LS-08B-06_SF03-UPPER</t>
  </si>
  <si>
    <t xml:space="preserve">LS-08B-06_SF04-LOWER</t>
  </si>
  <si>
    <t xml:space="preserve">LS-08B-06_SF04-UPPER</t>
  </si>
  <si>
    <t xml:space="preserve">LS-08B-06_SF05-LOWER</t>
  </si>
  <si>
    <t xml:space="preserve">LS-08B-06_TIE_BEAM_1</t>
  </si>
  <si>
    <t xml:space="preserve">LS-08B-06_TIE_BEAM_1_MAIN_MEMBERS</t>
  </si>
  <si>
    <t xml:space="preserve">LS-08B-06_TIE_BEAM_2</t>
  </si>
  <si>
    <t xml:space="preserve">LS-08B-06_TIE_BEAM_2_MAIN_MEMBERS</t>
  </si>
  <si>
    <t xml:space="preserve">LS-08B-06_TIE_BEAM_3</t>
  </si>
  <si>
    <t xml:space="preserve">LS-08B-06_TIE_BEAM_3_MAIN_MEMBERS</t>
  </si>
  <si>
    <t xml:space="preserve">Screen Models/311v3/SC08/LS-08X-11/FRAME/ShaftB</t>
  </si>
  <si>
    <t xml:space="preserve">LS-08B-11-TIE_BEAM_2</t>
  </si>
  <si>
    <t xml:space="preserve">LS-08B-11-TIE_BEAM_3</t>
  </si>
  <si>
    <t xml:space="preserve">LS-08B-11_SF01-UPPER</t>
  </si>
  <si>
    <t xml:space="preserve">LS-08B-11_SF02-LOWER</t>
  </si>
  <si>
    <t xml:space="preserve">LS-08B-11_SF02-UPPER</t>
  </si>
  <si>
    <t xml:space="preserve">LS-08B-11_SF03-LOWER</t>
  </si>
  <si>
    <t xml:space="preserve">LS-08B-11_SF03-UPPER</t>
  </si>
  <si>
    <t xml:space="preserve">LS-08B-11_TIE_BEAM_1_MAIN_MEMBERS</t>
  </si>
  <si>
    <t xml:space="preserve">LS-08B-11_TIE_BEAM_2</t>
  </si>
  <si>
    <t xml:space="preserve">LS-08B-11_TIE_BEAM_3</t>
  </si>
  <si>
    <t xml:space="preserve">LS-08BC-04 Rear Wall</t>
  </si>
  <si>
    <t xml:space="preserve">LS-08BC-04 RH Side Wall</t>
  </si>
  <si>
    <t xml:space="preserve">LS-08BC-07</t>
  </si>
  <si>
    <t xml:space="preserve">LS-08BC-07-STR</t>
  </si>
  <si>
    <t xml:space="preserve">LS-08C-04 Roof</t>
  </si>
  <si>
    <t xml:space="preserve">LS-08C-04_BEAM_SF03_TOP_80x40x8_WELDED</t>
  </si>
  <si>
    <t xml:space="preserve">LS-08C-04_KBEAM_S1</t>
  </si>
  <si>
    <t xml:space="preserve">LS-08C-04_KBEAM_S2</t>
  </si>
  <si>
    <t xml:space="preserve">LS-08C-04_KBEAM_S3</t>
  </si>
  <si>
    <t xml:space="preserve">LS-08C-04_KBEAM_S4</t>
  </si>
  <si>
    <t xml:space="preserve">LS-08C-04_KBEAM_S5</t>
  </si>
  <si>
    <t xml:space="preserve">LS-08C-04_KBEAM_S6</t>
  </si>
  <si>
    <t xml:space="preserve">LS-08C-04_SF01</t>
  </si>
  <si>
    <t xml:space="preserve">LS-08C-04_SF02-LOWER</t>
  </si>
  <si>
    <t xml:space="preserve">LS-08C-04_SF02-UPPER</t>
  </si>
  <si>
    <t xml:space="preserve">LS-08C-04_SF03_LOWER</t>
  </si>
  <si>
    <t xml:space="preserve">LS-08C-04_SF03_UPPER</t>
  </si>
  <si>
    <t xml:space="preserve">LS-08C-04_SF04</t>
  </si>
  <si>
    <t xml:space="preserve">LS-08C-04_SF05-LOWER</t>
  </si>
  <si>
    <t xml:space="preserve">LS-08C-04_SF05-UPPER</t>
  </si>
  <si>
    <t xml:space="preserve">LS-08C-04_WITH_SCREEN</t>
  </si>
  <si>
    <t xml:space="preserve">Screen Models/311v3/SC08/LS-08X-06/Shaft C</t>
  </si>
  <si>
    <t xml:space="preserve">LS-08C-06_LOWER_STRUCTURE_MEMBERS</t>
  </si>
  <si>
    <t xml:space="preserve">LS-08C-06_SF01-LOWER</t>
  </si>
  <si>
    <t xml:space="preserve">LS-08C-06_SF01-UPPER</t>
  </si>
  <si>
    <t xml:space="preserve">LS-08C-06_SF02-UPPER</t>
  </si>
  <si>
    <t xml:space="preserve">LS-08C-06_SF03-UPPER</t>
  </si>
  <si>
    <t xml:space="preserve">LS-08C-06_SF04-LOWER</t>
  </si>
  <si>
    <t xml:space="preserve">LS-08C-06_SF04-UPPER</t>
  </si>
  <si>
    <t xml:space="preserve">LS-08C-06_SF05-LOWER</t>
  </si>
  <si>
    <t xml:space="preserve">LS-08C-06_TIE_BEAM_1</t>
  </si>
  <si>
    <t xml:space="preserve">LS-08C-06_TIE_BEAM_1_MAIN_MEMBERS</t>
  </si>
  <si>
    <t xml:space="preserve">LS-08C-06_TIE_BEAM_2</t>
  </si>
  <si>
    <t xml:space="preserve">LS-08C-06_TIE_BEAM_2_MAIN_MEMBERS</t>
  </si>
  <si>
    <t xml:space="preserve">LS-08C-06_TIE_BEAM_3</t>
  </si>
  <si>
    <t xml:space="preserve">LS-08C-06_TIE_BEAM_3_MAIN_MEMBERS</t>
  </si>
  <si>
    <t xml:space="preserve">LS-08C-11-TIE_BEAM_1</t>
  </si>
  <si>
    <t xml:space="preserve">Screen Models/311v3/SC08/LS-08X-11/FRAME/ShaftC</t>
  </si>
  <si>
    <t xml:space="preserve">LS-08C-11-TIE_BEAM_2</t>
  </si>
  <si>
    <t xml:space="preserve">LS-08C-11-TIE_BEAM_3</t>
  </si>
  <si>
    <t xml:space="preserve">LS-08C-11_SF01-LOWER</t>
  </si>
  <si>
    <t xml:space="preserve">LS-08C-11_SF01-UPPER</t>
  </si>
  <si>
    <t xml:space="preserve">LS-08C-11_SF02-LOWER</t>
  </si>
  <si>
    <t xml:space="preserve">LS-08C-11_SF02-UPPER</t>
  </si>
  <si>
    <t xml:space="preserve">LS-08C-11_SF03-LOWER</t>
  </si>
  <si>
    <t xml:space="preserve">LS-08C-11_SF03-UPPER</t>
  </si>
  <si>
    <t xml:space="preserve">LS-08C-11_TIE_BEAM_1_MAIN_MEMBERS</t>
  </si>
  <si>
    <t xml:space="preserve">LS-08C-11_TIE_BEAM_2</t>
  </si>
  <si>
    <t xml:space="preserve">LS-08C-11_TIE_BEAM_3</t>
  </si>
  <si>
    <t xml:space="preserve">LS-08X-02 (LHS) Skeleton</t>
  </si>
  <si>
    <t xml:space="preserve">MacGuffin - LH assumed; RH set needs its own 08MGR numbers; reference geometry - not a part, no number</t>
  </si>
  <si>
    <t xml:space="preserve">LS-08X-02_03_Wooden_Shroud</t>
  </si>
  <si>
    <t xml:space="preserve">MacGuffin - LH assumed; RH set needs its own 08MGR numbers; not steel - outside this standard</t>
  </si>
  <si>
    <t xml:space="preserve">LS-08X-04 KBEAM WALL PLATE</t>
  </si>
  <si>
    <t xml:space="preserve">LS-08X-04_FLOOR_PLATE_SHARED_WITH_08X-07</t>
  </si>
  <si>
    <t xml:space="preserve">LS-08X-04_KBEAM_BRACKET</t>
  </si>
  <si>
    <t xml:space="preserve">LS-08X-04_PLATE_SUBFRAME_TO_KBEAM_INTERFACE</t>
  </si>
  <si>
    <t xml:space="preserve">LS-08X-04_REAR_WALL_BRACED_SUBFRAME</t>
  </si>
  <si>
    <t xml:space="preserve">LS-08X-04_SF02_LOWER_BRACE</t>
  </si>
  <si>
    <t xml:space="preserve">LS-08X-04_SF02_TO_INNER_CORNER_TIE</t>
  </si>
  <si>
    <t xml:space="preserve">LS-08X-04_SF03_TO_SF05_CORNER_TIE</t>
  </si>
  <si>
    <t xml:space="preserve">LS-08X-04_SF05_TIE_AND_BRACE</t>
  </si>
  <si>
    <t xml:space="preserve">LS-08X-06_NARROW_SIDE_CROSS_BRACE</t>
  </si>
  <si>
    <t xml:space="preserve">Screen Models/311v3/SC08/LS-08X-06/_Shared</t>
  </si>
  <si>
    <t xml:space="preserve">LS-08X-06_SF05_LOWER_LED_PLATE</t>
  </si>
  <si>
    <t xml:space="preserve">LS-08X-07-TIE_60x40</t>
  </si>
  <si>
    <t xml:space="preserve">Screen Models/311v3/SC08/LS-08X-07/FRAME/_Shared</t>
  </si>
  <si>
    <t xml:space="preserve">LS-08X-07-TIE_SHS40x40</t>
  </si>
  <si>
    <t xml:space="preserve">LS-08X-07_CROSS_BRACE</t>
  </si>
  <si>
    <t xml:space="preserve">LS-08X-07_EA40X40X5_BRACKETS</t>
  </si>
  <si>
    <t xml:space="preserve">LS-08X-07_STEP_FRAME</t>
  </si>
  <si>
    <t xml:space="preserve">LS-08X-11</t>
  </si>
  <si>
    <t xml:space="preserve">08X11</t>
  </si>
  <si>
    <t xml:space="preserve">LS-08X-11_BRACE</t>
  </si>
  <si>
    <t xml:space="preserve">Screen Models/311v3/SC08/_Shared</t>
  </si>
  <si>
    <t xml:space="preserve">LS-08X-X_PLATE_TIE_BEAM_INTERFACE</t>
  </si>
  <si>
    <t xml:space="preserve">0611</t>
  </si>
  <si>
    <t xml:space="preserve">LS-08X-X_TIE_BEAM_INTERFACE_PLATE</t>
  </si>
  <si>
    <t xml:space="preserve">LS-08X-X_TIE_BEAM_POST</t>
  </si>
  <si>
    <t xml:space="preserve">LS-08X-XX_MACGUFFIN_CROSS_BRACE</t>
  </si>
  <si>
    <t xml:space="preserve">LS-10A-06_SF01A_TIE_RIGHT_ANGLE</t>
  </si>
  <si>
    <t xml:space="preserve">LS-10X-06_SF02A_CANTILEVER_RETURN</t>
  </si>
  <si>
    <t xml:space="preserve">LS_08X-04_SAE_MECH_CANTILEVER</t>
  </si>
  <si>
    <t xml:space="preserve">category guessed - check</t>
  </si>
  <si>
    <t xml:space="preserve">LX-08X-XX_HORIZONTAL_01</t>
  </si>
  <si>
    <t xml:space="preserve">MEMBER_SHS_40x40x4</t>
  </si>
  <si>
    <t xml:space="preserve">stock - confirm used outside SC08</t>
  </si>
  <si>
    <t xml:space="preserve">MEMBER_SHS_40x80x8</t>
  </si>
  <si>
    <t xml:space="preserve">stock - confirm used outside SC08; file to move - see reconciliation</t>
  </si>
  <si>
    <t xml:space="preserve">stock - confirm used outside SC08; CONFIGURED FILE - numbers per configuration on the Configurations tab override this row</t>
  </si>
  <si>
    <t xml:space="preserve">plate</t>
  </si>
  <si>
    <t xml:space="preserve">PLATE_FLOOR</t>
  </si>
  <si>
    <t xml:space="preserve">04060711MG</t>
  </si>
  <si>
    <t xml:space="preserve">ABCMG</t>
  </si>
  <si>
    <t xml:space="preserve">stock - confirm used outside SC08; CONFIGURED FILE - numbers per configuration on the Configurations tab override this row; file to move - see reconciliation</t>
  </si>
  <si>
    <t xml:space="preserve">PLATE_LED_CABINET</t>
  </si>
  <si>
    <t xml:space="preserve">SC08-07-CUSTOM-SKUS</t>
  </si>
  <si>
    <t xml:space="preserve">Screen Models/311v3/SC08/LS-08X-07/CUSTOM SKUS</t>
  </si>
  <si>
    <t xml:space="preserve">not steel - outside this standard</t>
  </si>
  <si>
    <t xml:space="preserve">SC08-07-CUSTOM-SKUSv2</t>
  </si>
  <si>
    <t xml:space="preserve">SHS40x40</t>
  </si>
  <si>
    <t xml:space="preserve">SHS_40X40_OUTRIGGER</t>
  </si>
  <si>
    <t xml:space="preserve">SHS_40X40X4_HORIZONTAL_TOP_BAR^LS-08A-04_SF01</t>
  </si>
  <si>
    <t xml:space="preserve">SHS_40X40X4_HORIZONTAL_TOP_BAR^LS-08C-04_SF01</t>
  </si>
  <si>
    <t xml:space="preserve">SHS_40X40X4_VERTICALS^LS-08A-04_SF01</t>
  </si>
  <si>
    <t xml:space="preserve">SHS_40X40X4_VERTICALS^LS-08C-04_SF01</t>
  </si>
  <si>
    <t xml:space="preserve">SLEEVE_TIE_BEAM</t>
  </si>
  <si>
    <t xml:space="preserve">SPLICE_JOINT_ASSY</t>
  </si>
  <si>
    <t xml:space="preserve">Screen Models/311v3/_Fasteners/Bolt, washers &amp; Nuts Std Assy</t>
  </si>
  <si>
    <t xml:space="preserve">bolt kit; file to move - see reconciliation</t>
  </si>
  <si>
    <t xml:space="preserve">TIE_40x40x4</t>
  </si>
  <si>
    <t xml:space="preserve">TIE_80x40x8</t>
  </si>
  <si>
    <t xml:space="preserve">VERTICAL-SUB-STRUCTURE</t>
  </si>
  <si>
    <t xml:space="preserve">Configurations - the 9 configured files (from ConfigurationManager screenshots, 14 Oct 2026)</t>
  </si>
  <si>
    <t xml:space="preserve">Rule: a family file holds one place tag; configuration name becomes the item number (nn). Where a configuration belongs to a different place it is listed under the new file it should move to. Proposed PartNo is a formula.</t>
  </si>
  <si>
    <t xml:space="preserve">Current configuration</t>
  </si>
  <si>
    <t xml:space="preserve">Cat+Type</t>
  </si>
  <si>
    <t xml:space="preserve">New family file</t>
  </si>
  <si>
    <t xml:space="preserve">LCMM40X80-00</t>
  </si>
  <si>
    <t xml:space="preserve">base / template config - not a part (dash = not rebuilt)</t>
  </si>
  <si>
    <t xml:space="preserve">LS-08X-04-LCMM40X80-010</t>
  </si>
  <si>
    <t xml:space="preserve">split to new family file 08X04-LMW</t>
  </si>
  <si>
    <t xml:space="preserve">LS-08X-04-LCMM40X80-01A</t>
  </si>
  <si>
    <t xml:space="preserve">LS-08X-04-LCMM40X80-01B.1</t>
  </si>
  <si>
    <t xml:space="preserve">LS-08X-04-LCMM40X80-02A</t>
  </si>
  <si>
    <t xml:space="preserve">LS-08X-04-LCMM40X80-02B.1</t>
  </si>
  <si>
    <t xml:space="preserve">LS-08X-04-LCMM40X80-02B.2</t>
  </si>
  <si>
    <t xml:space="preserve">LS-08X-04-LCMM40X80-02B.3</t>
  </si>
  <si>
    <t xml:space="preserve">LS-08X-04-LCMM40X80-03A</t>
  </si>
  <si>
    <t xml:space="preserve">LS-08X-04-LCMM40X80-04A</t>
  </si>
  <si>
    <t xml:space="preserve">LS-08X-04-LCMM40X80-04B.1</t>
  </si>
  <si>
    <t xml:space="preserve">LS-08X-04-LCMM40X80-04B.2</t>
  </si>
  <si>
    <t xml:space="preserve">LS-08X-04-LCMM40X80-04B.3</t>
  </si>
  <si>
    <t xml:space="preserve">LS-08X-04-LCMM40X80-04B.4</t>
  </si>
  <si>
    <t xml:space="preserve">13</t>
  </si>
  <si>
    <t xml:space="preserve">LS-08X-04-LCMM40X80-05A</t>
  </si>
  <si>
    <t xml:space="preserve">14</t>
  </si>
  <si>
    <t xml:space="preserve">LS-08X-04-LCMM40X80-05B.2</t>
  </si>
  <si>
    <t xml:space="preserve">15</t>
  </si>
  <si>
    <t xml:space="preserve">LS-08X-04-LCMM40X80-05B</t>
  </si>
  <si>
    <t xml:space="preserve">16</t>
  </si>
  <si>
    <t xml:space="preserve">LS-08X-04-LCMM40X80-06A</t>
  </si>
  <si>
    <t xml:space="preserve">17</t>
  </si>
  <si>
    <t xml:space="preserve">LS-08X-04-LCMM40X80-06B</t>
  </si>
  <si>
    <t xml:space="preserve">18</t>
  </si>
  <si>
    <t xml:space="preserve">LS-08X-04-LCMM40X80-07</t>
  </si>
  <si>
    <t xml:space="preserve">19</t>
  </si>
  <si>
    <t xml:space="preserve">LS-08X-04-LCMM40X80-08</t>
  </si>
  <si>
    <t xml:space="preserve">20</t>
  </si>
  <si>
    <t xml:space="preserve">LS-08X-06-LCMM40X80-01A (180 top plate)</t>
  </si>
  <si>
    <t xml:space="preserve">split to new family file 08X06-LMW; shown with dash (not rebuilt) - confirm still used</t>
  </si>
  <si>
    <t xml:space="preserve">LS-08X-06-LCMM40X80-01AA</t>
  </si>
  <si>
    <t xml:space="preserve">LS-08X-06-LCMM40X80-01A</t>
  </si>
  <si>
    <t xml:space="preserve">split to new family file 08X06-LMW</t>
  </si>
  <si>
    <t xml:space="preserve">LS-08X-06-LCMM40X80-01A_SLOTS_PARALLEL_SHORT_AXIS</t>
  </si>
  <si>
    <t xml:space="preserve">LS-08X-06-LCMM40X80-01B.1</t>
  </si>
  <si>
    <t xml:space="preserve">LS-08X-06-LCMM40X80-01B.2</t>
  </si>
  <si>
    <t xml:space="preserve">LS-08X-06-LCMM40X80-02A</t>
  </si>
  <si>
    <t xml:space="preserve">LS-08X-06-LCMM40X80-03A</t>
  </si>
  <si>
    <t xml:space="preserve">LS-08X-06-LCMM40X80-04A</t>
  </si>
  <si>
    <t xml:space="preserve">LS-08X-11-LCMM40X80-01A</t>
  </si>
  <si>
    <t xml:space="preserve">split to new family file 08X11-LMW</t>
  </si>
  <si>
    <t xml:space="preserve">LS-08X-11-LCMM40X80-01B</t>
  </si>
  <si>
    <t xml:space="preserve">LS-08X-11-LCMM40X80-02A</t>
  </si>
  <si>
    <t xml:space="preserve">LS-08X-11-LCMM40X80-02A_SHAFT_B</t>
  </si>
  <si>
    <t xml:space="preserve">shaft B only - own family file 08B11-LMW</t>
  </si>
  <si>
    <t xml:space="preserve">TIE-104-WELDED</t>
  </si>
  <si>
    <t xml:space="preserve">welded-in tie 104 long</t>
  </si>
  <si>
    <t xml:space="preserve">TIE-210-WELDED</t>
  </si>
  <si>
    <t xml:space="preserve">welded-in tie 210 long</t>
  </si>
  <si>
    <t xml:space="preserve">TIE-385-WELDED</t>
  </si>
  <si>
    <t xml:space="preserve">welded-in tie 385 long</t>
  </si>
  <si>
    <t xml:space="preserve">TIE-460-WELDED</t>
  </si>
  <si>
    <t xml:space="preserve">welded-in tie 460 long</t>
  </si>
  <si>
    <t xml:space="preserve">TIE-710-WELDED</t>
  </si>
  <si>
    <t xml:space="preserve">welded-in tie 710 long</t>
  </si>
  <si>
    <t xml:space="preserve">TIE-960-WELDED</t>
  </si>
  <si>
    <t xml:space="preserve">welded-in tie 960 long</t>
  </si>
  <si>
    <t xml:space="preserve">TIE-460-BOLTED</t>
  </si>
  <si>
    <t xml:space="preserve">bolted tie 460 long (capped, holed)</t>
  </si>
  <si>
    <t xml:space="preserve">TIE-710-BOLTED</t>
  </si>
  <si>
    <t xml:space="preserve">bolted tie 710 long (capped, holed)</t>
  </si>
  <si>
    <t xml:space="preserve">TIE-960-BOLTED</t>
  </si>
  <si>
    <t xml:space="preserve">bolted tie 960 long (capped, holed)</t>
  </si>
  <si>
    <t xml:space="preserve">TIE-1890-LS-08X-04-SF03_TIEBEAM</t>
  </si>
  <si>
    <t xml:space="preserve">screen-specific - move out of the STOCK family into 08X04 (number follows 08X04-BRP seq - check)</t>
  </si>
  <si>
    <t xml:space="preserve">FP-150X200</t>
  </si>
  <si>
    <t xml:space="preserve">floor plate - STOCK if used outside SC08, else 08XXX</t>
  </si>
  <si>
    <t xml:space="preserve">FP-150X200-CHAMFERED_CORNERS</t>
  </si>
  <si>
    <t xml:space="preserve">FP-180x180</t>
  </si>
  <si>
    <t xml:space="preserve">FP-200x200</t>
  </si>
  <si>
    <t xml:space="preserve">FP-220x220</t>
  </si>
  <si>
    <t xml:space="preserve">FP-350x200</t>
  </si>
  <si>
    <t xml:space="preserve">FP-400x220</t>
  </si>
  <si>
    <t xml:space="preserve">FP-400x300</t>
  </si>
  <si>
    <t xml:space="preserve">FP-574x200</t>
  </si>
  <si>
    <t xml:space="preserve">DOUBLE_BOTTOM</t>
  </si>
  <si>
    <t xml:space="preserve">DOUBLE_LEFT</t>
  </si>
  <si>
    <t xml:space="preserve">DOUBLE_RIGHT</t>
  </si>
  <si>
    <t xml:space="preserve">DOUBLE_TOP</t>
  </si>
  <si>
    <t xml:space="preserve">QUAD_100x100</t>
  </si>
  <si>
    <t xml:space="preserve">SINGLE_TOP_LEFT</t>
  </si>
  <si>
    <t xml:space="preserve">SINGLE_TOP_RIGHT</t>
  </si>
  <si>
    <t xml:space="preserve">150x140x5-M12</t>
  </si>
  <si>
    <t xml:space="preserve">180x140x5-M12</t>
  </si>
  <si>
    <t xml:space="preserve">180x140x5A-M12</t>
  </si>
  <si>
    <t xml:space="preserve">200x140x5-M12</t>
  </si>
  <si>
    <t xml:space="preserve">PART 1</t>
  </si>
  <si>
    <t xml:space="preserve">two configs of one subframe position - confirm what PART 1 / PART 2 are (two pieces? two variants?). SFA code has room for one.</t>
  </si>
  <si>
    <t xml:space="preserve">PART 2</t>
  </si>
  <si>
    <t xml:space="preserve">?</t>
  </si>
  <si>
    <t xml:space="preserve">see above</t>
  </si>
  <si>
    <t xml:space="preserve">PL_180x140</t>
  </si>
  <si>
    <t xml:space="preserve">family 08XXX-PLP. Same sizes also exist in ..._INTERFACE_PLATE - possible duplicate designs across two files</t>
  </si>
  <si>
    <t xml:space="preserve">PL_200x140</t>
  </si>
  <si>
    <t xml:space="preserve">check against ..._PLATE_TIE_BEAM_INTERFACE PL_180x140</t>
  </si>
  <si>
    <t xml:space="preserve">PL_180x140-Perpendicular slots</t>
  </si>
  <si>
    <t xml:space="preserve">check against ..._PLATE_TIE_BEAM_INTERFACE PL_200x140</t>
  </si>
  <si>
    <t xml:space="preserve">PL_200x140-Perpendicular slots</t>
  </si>
  <si>
    <t xml:space="preserve">post weldment</t>
  </si>
  <si>
    <t xml:space="preserve">SHAFT_B_CONCRETE_BEAM</t>
  </si>
  <si>
    <t xml:space="preserve">shaft B only - different place tag, so own file</t>
  </si>
  <si>
    <t xml:space="preserve">Open Items</t>
  </si>
  <si>
    <t xml:space="preserve">#</t>
  </si>
  <si>
    <t xml:space="preserve">Item</t>
  </si>
  <si>
    <t xml:space="preserve">Owner</t>
  </si>
  <si>
    <t xml:space="preserve">Decision / comment</t>
  </si>
  <si>
    <t xml:space="preserve">1</t>
  </si>
  <si>
    <t xml:space="preserve">HB is Header Beam. If Horizontal Brace is wanted as a category, Header Beam moves to HD and HB = Horizontal Brace. Decide before numbers are allocated.</t>
  </si>
  <si>
    <t xml:space="preserve">Grant</t>
  </si>
  <si>
    <t xml:space="preserve">2</t>
  </si>
  <si>
    <t xml:space="preserve">LS list vs models: models contain LS-08A-11 and LS-08A-07; the LS list has only BC / ABC versions. Correct one of them.</t>
  </si>
  <si>
    <t xml:space="preserve">Grant / James</t>
  </si>
  <si>
    <t xml:space="preserve">3</t>
  </si>
  <si>
    <t xml:space="preserve">MacGuffin: both top-level assemblies are named (LH). Confirm which is RH and rename.</t>
  </si>
  <si>
    <t xml:space="preserve">James</t>
  </si>
  <si>
    <t xml:space="preserve">4</t>
  </si>
  <si>
    <t xml:space="preserve">B and C subframes are modelled as separate copies with different file counts (70 B-only, 56 C-only). Confirm which is current before merging into Z.</t>
  </si>
  <si>
    <t xml:space="preserve">5</t>
  </si>
  <si>
    <t xml:space="preserve">LS-08BC-07 assembly references 9 files in LS-08X-07_old\structure. Relink to live parts before renaming.</t>
  </si>
  <si>
    <t xml:space="preserve">6</t>
  </si>
  <si>
    <t xml:space="preserve">Duplicate live files: MEMBER_SHS_40x80x8, TIE_80x40x8 (311v3\_Shared and SC08\_Shared), LS-08A-06_LOWER_STRUCTURE_MEMBERS (ShaftA and SC08\_Shared). Keep one, repoint.</t>
  </si>
  <si>
    <t xml:space="preserve">7</t>
  </si>
  <si>
    <t xml:space="preserve">6 virtual components (LOWER_BRACE^LS-08A-04_SF01 etc.) to be saved as external files.</t>
  </si>
  <si>
    <t xml:space="preserve">8</t>
  </si>
  <si>
    <t xml:space="preserve">LCMM_40x80x8_SC08 family holds configs for screens 04, 06, 11 - split into one family per screen.</t>
  </si>
  <si>
    <t xml:space="preserve">9</t>
  </si>
  <si>
    <t xml:space="preserve">PLATE_FLOOR, LCMM_40x40x4_0804, LCMM_40x80x8: STOCK or scene-level? Depends on use outside SC08.</t>
  </si>
  <si>
    <t xml:space="preserve">13 files at the wrong sharing level - see SC08_BOM_File_Reconciliation.xlsx.</t>
  </si>
  <si>
    <t xml:space="preserve">26 Dropbox conflicted copies and 5 copies of the fastener folders - resolve at the PDM load.</t>
  </si>
  <si>
    <t xml:space="preserve">Re-export the SC08 BOM with PartNo as the part number column so configurations show as separate items.</t>
  </si>
  <si>
    <t xml:space="preserve">K Beam: confirm place tag for the reference-only KBA items.</t>
  </si>
  <si>
    <t xml:space="preserve">Rename scene and screen _Shared folders to their place tags (08XXX, 08X04) at the PDM load, so folder = tag everywhere.</t>
  </si>
  <si>
    <t xml:space="preserve">Rename Register SC08 tab: James to check category / type guesses and confirm numbers before PartNo is entered.</t>
  </si>
  <si>
    <t xml:space="preserve">LS-08A-11_SF01-LOWER has configs PART 1 and PART 2 - what are they? The SFA code (1B) has room for one.</t>
  </si>
  <si>
    <t xml:space="preserve">PLATE_TIE_BEAM_INTERFACE and TIE_BEAM_INTERFACE_PLATE both hold PL_180x140 and PL_200x140 - duplicate designs across two files?</t>
  </si>
  <si>
    <t xml:space="preserve">LCMM_40x80x8_SC08: five configs show a dash (not rebuilt) - confirm whether still used before splitting the family.</t>
  </si>
  <si>
    <t xml:space="preserve">TIE-1890-LS-08X-04-SF03_TIEBEAM is screen-specific inside the STOCK tie family - move to 08X04.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</si>
</sst>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2"/>
      <name val="Arial"/>
      <family val="2"/>
      <charset val="1"/>
    </font>
    <font>
      <sz val="18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3"/>
    <col collapsed="false" customWidth="true" hidden="false" outlineLevel="0" max="4" min="2" style="1" width="15"/>
  </cols>
  <sheetData>
    <row r="1" customFormat="false" ht="15.75" hidden="false" customHeight="true" outlineLevel="0" collapsed="false">
      <c r="A1" s="2" t="s">
        <v>0</v>
      </c>
    </row>
    <row r="3" s="3" customFormat="true" ht="23.25" hidden="false" customHeight="true" outlineLevel="0" collapsed="false">
      <c r="B3" s="4" t="s">
        <v>1</v>
      </c>
      <c r="C3" s="4" t="s">
        <v>2</v>
      </c>
      <c r="D3" s="4" t="s">
        <v>3</v>
      </c>
    </row>
    <row r="4" customFormat="false" ht="15" hidden="false" customHeight="true" outlineLevel="0" collapsed="false">
      <c r="B4" s="5" t="s">
        <v>4</v>
      </c>
      <c r="C4" s="5" t="s">
        <v>5</v>
      </c>
      <c r="D4" s="5" t="s">
        <v>6</v>
      </c>
    </row>
    <row r="6" customFormat="false" ht="15" hidden="false" customHeight="true" outlineLevel="0" collapsed="false">
      <c r="A6" s="6" t="s">
        <v>7</v>
      </c>
    </row>
    <row r="8" customFormat="false" ht="15" hidden="false" customHeight="true" outlineLevel="0" collapsed="false">
      <c r="B8" s="7" t="s">
        <v>8</v>
      </c>
      <c r="C8" s="1" t="s">
        <v>9</v>
      </c>
    </row>
    <row r="9" customFormat="false" ht="15" hidden="false" customHeight="true" outlineLevel="0" collapsed="false">
      <c r="B9" s="7" t="s">
        <v>10</v>
      </c>
      <c r="C9" s="1" t="s">
        <v>11</v>
      </c>
    </row>
    <row r="10" customFormat="false" ht="15" hidden="false" customHeight="true" outlineLevel="0" collapsed="false">
      <c r="B10" s="7" t="s">
        <v>12</v>
      </c>
      <c r="C10" s="1" t="s">
        <v>13</v>
      </c>
    </row>
    <row r="11" customFormat="false" ht="15" hidden="false" customHeight="true" outlineLevel="0" collapsed="false">
      <c r="C11" s="1" t="s">
        <v>14</v>
      </c>
    </row>
    <row r="12" customFormat="false" ht="15" hidden="false" customHeight="true" outlineLevel="0" collapsed="false">
      <c r="B12" s="7" t="s">
        <v>15</v>
      </c>
      <c r="C12" s="1" t="s">
        <v>16</v>
      </c>
    </row>
    <row r="13" customFormat="false" ht="15" hidden="false" customHeight="true" outlineLevel="0" collapsed="false">
      <c r="B13" s="7" t="s">
        <v>17</v>
      </c>
      <c r="C13" s="1" t="s">
        <v>18</v>
      </c>
    </row>
    <row r="15" customFormat="false" ht="15" hidden="false" customHeight="true" outlineLevel="0" collapsed="false">
      <c r="A15" s="6" t="s">
        <v>19</v>
      </c>
    </row>
    <row r="17" customFormat="false" ht="15" hidden="false" customHeight="true" outlineLevel="0" collapsed="false">
      <c r="B17" s="7" t="s">
        <v>20</v>
      </c>
      <c r="C17" s="1" t="s">
        <v>21</v>
      </c>
    </row>
    <row r="18" customFormat="false" ht="15" hidden="false" customHeight="true" outlineLevel="0" collapsed="false">
      <c r="B18" s="7" t="s">
        <v>22</v>
      </c>
      <c r="C18" s="1" t="s">
        <v>23</v>
      </c>
    </row>
    <row r="20" customFormat="false" ht="15" hidden="false" customHeight="true" outlineLevel="0" collapsed="false">
      <c r="A20" s="6" t="s">
        <v>24</v>
      </c>
    </row>
    <row r="22" customFormat="false" ht="15" hidden="false" customHeight="true" outlineLevel="0" collapsed="false">
      <c r="B22" s="7" t="s">
        <v>25</v>
      </c>
      <c r="C22" s="1" t="s">
        <v>26</v>
      </c>
    </row>
    <row r="23" customFormat="false" ht="15" hidden="false" customHeight="true" outlineLevel="0" collapsed="false">
      <c r="C23" s="1" t="s">
        <v>27</v>
      </c>
    </row>
    <row r="24" customFormat="false" ht="15" hidden="false" customHeight="true" outlineLevel="0" collapsed="false">
      <c r="C24" s="1" t="s">
        <v>28</v>
      </c>
    </row>
    <row r="26" customFormat="false" ht="15" hidden="false" customHeight="true" outlineLevel="0" collapsed="false">
      <c r="A26" s="6" t="s">
        <v>29</v>
      </c>
    </row>
    <row r="28" customFormat="false" ht="15" hidden="false" customHeight="true" outlineLevel="0" collapsed="false">
      <c r="B28" s="7" t="s">
        <v>30</v>
      </c>
      <c r="C28" s="1" t="s">
        <v>31</v>
      </c>
    </row>
    <row r="29" customFormat="false" ht="15" hidden="false" customHeight="true" outlineLevel="0" collapsed="false">
      <c r="B29" s="7" t="s">
        <v>32</v>
      </c>
      <c r="C29" s="1" t="s">
        <v>33</v>
      </c>
    </row>
    <row r="31" customFormat="false" ht="15" hidden="false" customHeight="true" outlineLevel="0" collapsed="false">
      <c r="A31" s="6" t="s">
        <v>34</v>
      </c>
    </row>
    <row r="33" customFormat="false" ht="15" hidden="false" customHeight="true" outlineLevel="0" collapsed="false">
      <c r="B33" s="7" t="s">
        <v>35</v>
      </c>
      <c r="C33" s="1" t="s">
        <v>36</v>
      </c>
    </row>
    <row r="34" customFormat="false" ht="15" hidden="false" customHeight="true" outlineLevel="0" collapsed="false">
      <c r="B34" s="7" t="s">
        <v>37</v>
      </c>
      <c r="C34" s="1" t="s">
        <v>38</v>
      </c>
    </row>
    <row r="35" customFormat="false" ht="15" hidden="false" customHeight="true" outlineLevel="0" collapsed="false">
      <c r="B35" s="7" t="s">
        <v>39</v>
      </c>
      <c r="C35" s="1" t="s">
        <v>40</v>
      </c>
    </row>
    <row r="36" customFormat="false" ht="15" hidden="false" customHeight="true" outlineLevel="0" collapsed="false">
      <c r="B36" s="7" t="s">
        <v>41</v>
      </c>
      <c r="C36" s="1" t="s">
        <v>42</v>
      </c>
    </row>
    <row r="37" customFormat="false" ht="15" hidden="false" customHeight="true" outlineLevel="0" collapsed="false">
      <c r="B37" s="7" t="s">
        <v>43</v>
      </c>
      <c r="C37" s="1" t="s">
        <v>44</v>
      </c>
    </row>
    <row r="38" customFormat="false" ht="15" hidden="false" customHeight="true" outlineLevel="0" collapsed="false">
      <c r="B38" s="7" t="s">
        <v>45</v>
      </c>
      <c r="C38" s="1" t="s">
        <v>46</v>
      </c>
    </row>
    <row r="39" customFormat="false" ht="15" hidden="false" customHeight="true" outlineLevel="0" collapsed="false">
      <c r="B39" s="7" t="s">
        <v>47</v>
      </c>
      <c r="C39" s="1" t="s">
        <v>48</v>
      </c>
    </row>
    <row r="40" customFormat="false" ht="15" hidden="false" customHeight="true" outlineLevel="0" collapsed="false">
      <c r="B40" s="7" t="s">
        <v>49</v>
      </c>
      <c r="C40" s="1" t="s">
        <v>50</v>
      </c>
    </row>
    <row r="41" customFormat="false" ht="15" hidden="false" customHeight="true" outlineLevel="0" collapsed="false">
      <c r="B41" s="7" t="s">
        <v>51</v>
      </c>
      <c r="C41" s="1" t="s">
        <v>52</v>
      </c>
    </row>
    <row r="43" customFormat="false" ht="15" hidden="false" customHeight="true" outlineLevel="0" collapsed="false">
      <c r="A43" s="7" t="s">
        <v>53</v>
      </c>
    </row>
    <row r="45" customFormat="false" ht="15" hidden="false" customHeight="true" outlineLevel="0" collapsed="false">
      <c r="B45" s="8" t="s">
        <v>54</v>
      </c>
    </row>
    <row r="46" customFormat="false" ht="15" hidden="false" customHeight="true" outlineLevel="0" collapsed="false">
      <c r="B46" s="8" t="s">
        <v>55</v>
      </c>
    </row>
    <row r="47" customFormat="false" ht="15" hidden="false" customHeight="true" outlineLevel="0" collapsed="false">
      <c r="B47" s="8" t="s">
        <v>56</v>
      </c>
    </row>
    <row r="48" customFormat="false" ht="15" hidden="false" customHeight="true" outlineLevel="0" collapsed="false">
      <c r="B48" s="8" t="s">
        <v>57</v>
      </c>
    </row>
    <row r="49" customFormat="false" ht="15" hidden="false" customHeight="true" outlineLevel="0" collapsed="false">
      <c r="B49" s="8" t="s">
        <v>58</v>
      </c>
    </row>
    <row r="50" customFormat="false" ht="15" hidden="false" customHeight="true" outlineLevel="0" collapsed="false">
      <c r="B50" s="8" t="s">
        <v>59</v>
      </c>
    </row>
    <row r="51" customFormat="false" ht="15" hidden="false" customHeight="true" outlineLevel="0" collapsed="false">
      <c r="B51" s="8" t="s">
        <v>60</v>
      </c>
    </row>
    <row r="52" customFormat="false" ht="15" hidden="false" customHeight="true" outlineLevel="0" collapsed="false">
      <c r="B52" s="8" t="s">
        <v>61</v>
      </c>
    </row>
    <row r="53" customFormat="false" ht="15" hidden="false" customHeight="true" outlineLevel="0" collapsed="false">
      <c r="B53" s="8" t="s">
        <v>62</v>
      </c>
    </row>
    <row r="54" customFormat="false" ht="15" hidden="false" customHeight="true" outlineLevel="0" collapsed="false">
      <c r="B54" s="8" t="s">
        <v>63</v>
      </c>
    </row>
    <row r="55" customFormat="false" ht="15" hidden="false" customHeight="true" outlineLevel="0" collapsed="false">
      <c r="B55" s="8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3" activeCellId="0" sqref="B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"/>
    <col collapsed="false" customWidth="true" hidden="false" outlineLevel="0" max="4" min="3" style="1" width="10"/>
    <col collapsed="false" customWidth="true" hidden="false" outlineLevel="0" max="5" min="5" style="1" width="8"/>
    <col collapsed="false" customWidth="true" hidden="false" outlineLevel="0" max="6" min="6" style="1" width="80"/>
  </cols>
  <sheetData>
    <row r="1" customFormat="false" ht="15.75" hidden="false" customHeight="true" outlineLevel="0" collapsed="false">
      <c r="A1" s="2" t="s">
        <v>65</v>
      </c>
    </row>
    <row r="3" customFormat="false" ht="15" hidden="false" customHeight="true" outlineLevel="0" collapsed="false">
      <c r="A3" s="9" t="s">
        <v>5</v>
      </c>
      <c r="B3" s="9" t="s">
        <v>66</v>
      </c>
      <c r="C3" s="9" t="s">
        <v>67</v>
      </c>
      <c r="D3" s="9" t="s">
        <v>68</v>
      </c>
      <c r="E3" s="9" t="s">
        <v>69</v>
      </c>
      <c r="F3" s="9" t="s">
        <v>70</v>
      </c>
    </row>
    <row r="4" customFormat="false" ht="15" hidden="false" customHeight="true" outlineLevel="0" collapsed="false">
      <c r="A4" s="10" t="s">
        <v>71</v>
      </c>
      <c r="B4" s="11" t="s">
        <v>72</v>
      </c>
      <c r="C4" s="10" t="s">
        <v>73</v>
      </c>
      <c r="D4" s="10" t="s">
        <v>74</v>
      </c>
      <c r="E4" s="10" t="s">
        <v>75</v>
      </c>
      <c r="F4" s="10" t="s">
        <v>76</v>
      </c>
    </row>
    <row r="5" customFormat="false" ht="15" hidden="false" customHeight="true" outlineLevel="0" collapsed="false">
      <c r="A5" s="10" t="s">
        <v>77</v>
      </c>
      <c r="B5" s="11" t="s">
        <v>78</v>
      </c>
      <c r="C5" s="10" t="s">
        <v>79</v>
      </c>
      <c r="D5" s="10" t="s">
        <v>80</v>
      </c>
      <c r="E5" s="10" t="s">
        <v>80</v>
      </c>
      <c r="F5" s="10" t="s">
        <v>81</v>
      </c>
    </row>
    <row r="6" customFormat="false" ht="15" hidden="false" customHeight="true" outlineLevel="0" collapsed="false">
      <c r="A6" s="10" t="s">
        <v>82</v>
      </c>
      <c r="B6" s="11" t="s">
        <v>83</v>
      </c>
      <c r="C6" s="10" t="s">
        <v>84</v>
      </c>
      <c r="D6" s="10" t="s">
        <v>85</v>
      </c>
      <c r="E6" s="10" t="s">
        <v>86</v>
      </c>
      <c r="F6" s="10" t="s">
        <v>87</v>
      </c>
    </row>
    <row r="7" customFormat="false" ht="15" hidden="false" customHeight="true" outlineLevel="0" collapsed="false">
      <c r="A7" s="10" t="s">
        <v>88</v>
      </c>
      <c r="B7" s="11" t="s">
        <v>89</v>
      </c>
      <c r="C7" s="10" t="s">
        <v>90</v>
      </c>
      <c r="D7" s="10" t="s">
        <v>91</v>
      </c>
      <c r="E7" s="10" t="s">
        <v>92</v>
      </c>
      <c r="F7" s="10" t="s">
        <v>93</v>
      </c>
    </row>
    <row r="8" customFormat="false" ht="15" hidden="false" customHeight="true" outlineLevel="0" collapsed="false">
      <c r="A8" s="10" t="s">
        <v>94</v>
      </c>
      <c r="B8" s="11" t="s">
        <v>95</v>
      </c>
      <c r="C8" s="10" t="s">
        <v>80</v>
      </c>
      <c r="D8" s="10" t="s">
        <v>80</v>
      </c>
      <c r="E8" s="10" t="s">
        <v>96</v>
      </c>
      <c r="F8" s="10" t="s">
        <v>97</v>
      </c>
    </row>
    <row r="9" customFormat="false" ht="15" hidden="false" customHeight="true" outlineLevel="0" collapsed="false">
      <c r="A9" s="10" t="s">
        <v>98</v>
      </c>
      <c r="B9" s="11" t="s">
        <v>99</v>
      </c>
      <c r="C9" s="10" t="s">
        <v>80</v>
      </c>
      <c r="D9" s="10" t="s">
        <v>80</v>
      </c>
      <c r="E9" s="10" t="s">
        <v>100</v>
      </c>
      <c r="F9" s="10" t="s">
        <v>101</v>
      </c>
    </row>
    <row r="10" customFormat="false" ht="15" hidden="false" customHeight="true" outlineLevel="0" collapsed="false">
      <c r="A10" s="10" t="s">
        <v>102</v>
      </c>
      <c r="B10" s="11" t="s">
        <v>103</v>
      </c>
      <c r="C10" s="10" t="s">
        <v>104</v>
      </c>
      <c r="D10" s="10" t="s">
        <v>105</v>
      </c>
      <c r="E10" s="10" t="s">
        <v>106</v>
      </c>
      <c r="F10" s="10" t="s">
        <v>107</v>
      </c>
    </row>
    <row r="11" customFormat="false" ht="15" hidden="false" customHeight="true" outlineLevel="0" collapsed="false">
      <c r="A11" s="10" t="s">
        <v>108</v>
      </c>
      <c r="B11" s="11" t="s">
        <v>109</v>
      </c>
      <c r="C11" s="10" t="s">
        <v>110</v>
      </c>
      <c r="D11" s="10" t="s">
        <v>111</v>
      </c>
      <c r="E11" s="10" t="s">
        <v>112</v>
      </c>
      <c r="F11" s="10" t="s">
        <v>113</v>
      </c>
    </row>
    <row r="12" customFormat="false" ht="15" hidden="false" customHeight="true" outlineLevel="0" collapsed="false">
      <c r="A12" s="10" t="s">
        <v>114</v>
      </c>
      <c r="B12" s="11" t="s">
        <v>115</v>
      </c>
      <c r="C12" s="10" t="s">
        <v>116</v>
      </c>
      <c r="D12" s="10" t="s">
        <v>117</v>
      </c>
      <c r="E12" s="10" t="s">
        <v>118</v>
      </c>
      <c r="F12" s="10"/>
    </row>
    <row r="13" customFormat="false" ht="15" hidden="false" customHeight="true" outlineLevel="0" collapsed="false">
      <c r="A13" s="10" t="s">
        <v>119</v>
      </c>
      <c r="B13" s="11" t="s">
        <v>120</v>
      </c>
      <c r="C13" s="10" t="s">
        <v>80</v>
      </c>
      <c r="D13" s="10" t="s">
        <v>80</v>
      </c>
      <c r="E13" s="10" t="s">
        <v>121</v>
      </c>
      <c r="F13" s="10" t="s">
        <v>122</v>
      </c>
    </row>
    <row r="14" customFormat="false" ht="15" hidden="false" customHeight="true" outlineLevel="0" collapsed="false">
      <c r="A14" s="10" t="s">
        <v>123</v>
      </c>
      <c r="B14" s="11" t="s">
        <v>124</v>
      </c>
      <c r="C14" s="10" t="s">
        <v>32</v>
      </c>
      <c r="D14" s="10" t="s">
        <v>80</v>
      </c>
      <c r="E14" s="10" t="s">
        <v>80</v>
      </c>
      <c r="F14" s="10" t="s">
        <v>125</v>
      </c>
    </row>
    <row r="15" customFormat="false" ht="15" hidden="false" customHeight="true" outlineLevel="0" collapsed="false">
      <c r="A15" s="10" t="s">
        <v>126</v>
      </c>
      <c r="B15" s="11" t="s">
        <v>127</v>
      </c>
      <c r="C15" s="10" t="s">
        <v>128</v>
      </c>
      <c r="D15" s="10" t="s">
        <v>129</v>
      </c>
      <c r="E15" s="10" t="s">
        <v>130</v>
      </c>
      <c r="F15" s="1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20" activeCellId="0" sqref="C20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62"/>
    <col collapsed="false" customWidth="true" hidden="false" outlineLevel="0" max="4" min="4" style="1" width="20"/>
  </cols>
  <sheetData>
    <row r="1" customFormat="false" ht="15.75" hidden="false" customHeight="true" outlineLevel="0" collapsed="false">
      <c r="A1" s="2" t="s">
        <v>132</v>
      </c>
    </row>
    <row r="3" customFormat="false" ht="15" hidden="false" customHeight="true" outlineLevel="0" collapsed="false">
      <c r="A3" s="9" t="s">
        <v>133</v>
      </c>
      <c r="B3" s="9" t="s">
        <v>66</v>
      </c>
      <c r="C3" s="9" t="s">
        <v>134</v>
      </c>
      <c r="D3" s="9" t="s">
        <v>135</v>
      </c>
    </row>
    <row r="4" customFormat="false" ht="15" hidden="false" customHeight="true" outlineLevel="0" collapsed="false">
      <c r="A4" s="10" t="s">
        <v>136</v>
      </c>
      <c r="B4" s="11" t="s">
        <v>137</v>
      </c>
      <c r="C4" s="10" t="s">
        <v>138</v>
      </c>
      <c r="D4" s="10" t="s">
        <v>139</v>
      </c>
    </row>
    <row r="5" customFormat="false" ht="15" hidden="false" customHeight="true" outlineLevel="0" collapsed="false">
      <c r="A5" s="10" t="s">
        <v>136</v>
      </c>
      <c r="B5" s="11" t="s">
        <v>140</v>
      </c>
      <c r="C5" s="10" t="s">
        <v>141</v>
      </c>
      <c r="D5" s="10" t="s">
        <v>142</v>
      </c>
    </row>
    <row r="6" customFormat="false" ht="15" hidden="false" customHeight="true" outlineLevel="0" collapsed="false">
      <c r="A6" s="10" t="s">
        <v>136</v>
      </c>
      <c r="B6" s="11" t="s">
        <v>143</v>
      </c>
      <c r="C6" s="10" t="s">
        <v>144</v>
      </c>
      <c r="D6" s="10" t="s">
        <v>145</v>
      </c>
    </row>
    <row r="7" customFormat="false" ht="15" hidden="false" customHeight="true" outlineLevel="0" collapsed="false">
      <c r="A7" s="10" t="s">
        <v>136</v>
      </c>
      <c r="B7" s="11" t="s">
        <v>146</v>
      </c>
      <c r="C7" s="10" t="s">
        <v>147</v>
      </c>
      <c r="D7" s="10" t="s">
        <v>148</v>
      </c>
    </row>
    <row r="8" customFormat="false" ht="15" hidden="false" customHeight="true" outlineLevel="0" collapsed="false">
      <c r="A8" s="10" t="s">
        <v>149</v>
      </c>
      <c r="B8" s="11" t="s">
        <v>150</v>
      </c>
      <c r="C8" s="10" t="s">
        <v>151</v>
      </c>
      <c r="D8" s="10" t="s">
        <v>152</v>
      </c>
    </row>
    <row r="9" customFormat="false" ht="15" hidden="false" customHeight="true" outlineLevel="0" collapsed="false">
      <c r="A9" s="10" t="s">
        <v>149</v>
      </c>
      <c r="B9" s="11" t="s">
        <v>153</v>
      </c>
      <c r="C9" s="10" t="s">
        <v>154</v>
      </c>
      <c r="D9" s="10" t="s">
        <v>45</v>
      </c>
    </row>
    <row r="10" customFormat="false" ht="15" hidden="false" customHeight="true" outlineLevel="0" collapsed="false">
      <c r="A10" s="10" t="s">
        <v>4</v>
      </c>
      <c r="B10" s="11" t="s">
        <v>15</v>
      </c>
      <c r="C10" s="10" t="s">
        <v>155</v>
      </c>
      <c r="D10" s="10" t="s">
        <v>51</v>
      </c>
    </row>
    <row r="11" customFormat="false" ht="15" hidden="false" customHeight="true" outlineLevel="0" collapsed="false">
      <c r="A11" s="10" t="s">
        <v>4</v>
      </c>
      <c r="B11" s="11" t="s">
        <v>156</v>
      </c>
      <c r="C11" s="10" t="s">
        <v>157</v>
      </c>
      <c r="D11" s="10" t="s">
        <v>158</v>
      </c>
    </row>
    <row r="12" customFormat="false" ht="15" hidden="false" customHeight="true" outlineLevel="0" collapsed="false">
      <c r="A12" s="10" t="s">
        <v>159</v>
      </c>
      <c r="B12" s="11" t="s">
        <v>160</v>
      </c>
      <c r="C12" s="10" t="s">
        <v>161</v>
      </c>
      <c r="D12" s="10" t="s">
        <v>41</v>
      </c>
    </row>
    <row r="13" customFormat="false" ht="15" hidden="false" customHeight="true" outlineLevel="0" collapsed="false">
      <c r="A13" s="10" t="s">
        <v>6</v>
      </c>
      <c r="B13" s="11" t="s">
        <v>150</v>
      </c>
      <c r="C13" s="10" t="s">
        <v>162</v>
      </c>
      <c r="D13" s="10" t="s">
        <v>43</v>
      </c>
    </row>
    <row r="14" customFormat="false" ht="15" hidden="false" customHeight="true" outlineLevel="0" collapsed="false">
      <c r="A14" s="10" t="s">
        <v>163</v>
      </c>
      <c r="B14" s="11" t="s">
        <v>164</v>
      </c>
      <c r="C14" s="10" t="s">
        <v>165</v>
      </c>
      <c r="D14" s="10" t="s">
        <v>37</v>
      </c>
    </row>
    <row r="15" customFormat="false" ht="15" hidden="false" customHeight="true" outlineLevel="0" collapsed="false">
      <c r="A15" s="10" t="s">
        <v>166</v>
      </c>
      <c r="B15" s="11" t="s">
        <v>150</v>
      </c>
      <c r="C15" s="10" t="s">
        <v>167</v>
      </c>
      <c r="D15" s="1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70"/>
  </cols>
  <sheetData>
    <row r="1" customFormat="false" ht="15.75" hidden="false" customHeight="true" outlineLevel="0" collapsed="false">
      <c r="A1" s="2" t="s">
        <v>169</v>
      </c>
    </row>
    <row r="2" customFormat="false" ht="15" hidden="false" customHeight="true" outlineLevel="0" collapsed="false">
      <c r="A2" s="1" t="s">
        <v>170</v>
      </c>
    </row>
    <row r="4" customFormat="false" ht="15" hidden="false" customHeight="true" outlineLevel="0" collapsed="false">
      <c r="A4" s="9" t="s">
        <v>171</v>
      </c>
      <c r="B4" s="9" t="s">
        <v>172</v>
      </c>
      <c r="C4" s="9" t="s">
        <v>173</v>
      </c>
      <c r="D4" s="9" t="s">
        <v>174</v>
      </c>
      <c r="E4" s="9" t="s">
        <v>175</v>
      </c>
      <c r="F4" s="9" t="s">
        <v>176</v>
      </c>
    </row>
    <row r="5" customFormat="false" ht="15" hidden="false" customHeight="true" outlineLevel="0" collapsed="false">
      <c r="A5" s="10" t="s">
        <v>177</v>
      </c>
      <c r="B5" s="10" t="s">
        <v>178</v>
      </c>
      <c r="C5" s="10" t="s">
        <v>146</v>
      </c>
      <c r="D5" s="10" t="s">
        <v>179</v>
      </c>
      <c r="E5" s="11" t="str">
        <f aca="false">B5&amp;C5&amp;D5</f>
        <v>00004</v>
      </c>
      <c r="F5" s="10"/>
    </row>
    <row r="6" customFormat="false" ht="15" hidden="false" customHeight="true" outlineLevel="0" collapsed="false">
      <c r="A6" s="10" t="s">
        <v>180</v>
      </c>
      <c r="B6" s="10" t="s">
        <v>178</v>
      </c>
      <c r="C6" s="10" t="s">
        <v>146</v>
      </c>
      <c r="D6" s="10" t="s">
        <v>181</v>
      </c>
      <c r="E6" s="11" t="str">
        <f aca="false">B6&amp;C6&amp;D6</f>
        <v>00006</v>
      </c>
      <c r="F6" s="10"/>
    </row>
    <row r="7" customFormat="false" ht="15" hidden="false" customHeight="true" outlineLevel="0" collapsed="false">
      <c r="A7" s="10" t="s">
        <v>182</v>
      </c>
      <c r="B7" s="10" t="s">
        <v>178</v>
      </c>
      <c r="C7" s="10" t="s">
        <v>146</v>
      </c>
      <c r="D7" s="10" t="s">
        <v>183</v>
      </c>
      <c r="E7" s="11" t="str">
        <f aca="false">B7&amp;C7&amp;D7</f>
        <v>00007</v>
      </c>
      <c r="F7" s="10"/>
    </row>
    <row r="8" customFormat="false" ht="15" hidden="false" customHeight="true" outlineLevel="0" collapsed="false">
      <c r="A8" s="10" t="s">
        <v>184</v>
      </c>
      <c r="B8" s="10" t="s">
        <v>183</v>
      </c>
      <c r="C8" s="10" t="s">
        <v>143</v>
      </c>
      <c r="D8" s="10" t="s">
        <v>185</v>
      </c>
      <c r="E8" s="11" t="str">
        <f aca="false">B8&amp;C8&amp;D8</f>
        <v>07X01</v>
      </c>
      <c r="F8" s="10"/>
    </row>
    <row r="9" customFormat="false" ht="15" hidden="false" customHeight="true" outlineLevel="0" collapsed="false">
      <c r="A9" s="10" t="s">
        <v>186</v>
      </c>
      <c r="B9" s="10" t="s">
        <v>183</v>
      </c>
      <c r="C9" s="10" t="s">
        <v>143</v>
      </c>
      <c r="D9" s="10" t="s">
        <v>187</v>
      </c>
      <c r="E9" s="11" t="str">
        <f aca="false">B9&amp;C9&amp;D9</f>
        <v>07X02</v>
      </c>
      <c r="F9" s="10"/>
    </row>
    <row r="10" customFormat="false" ht="15" hidden="false" customHeight="true" outlineLevel="0" collapsed="false">
      <c r="A10" s="10" t="s">
        <v>188</v>
      </c>
      <c r="B10" s="10" t="s">
        <v>183</v>
      </c>
      <c r="C10" s="10" t="s">
        <v>143</v>
      </c>
      <c r="D10" s="10" t="s">
        <v>189</v>
      </c>
      <c r="E10" s="11" t="str">
        <f aca="false">B10&amp;C10&amp;D10</f>
        <v>07X03</v>
      </c>
      <c r="F10" s="10"/>
    </row>
    <row r="11" customFormat="false" ht="15" hidden="false" customHeight="true" outlineLevel="0" collapsed="false">
      <c r="A11" s="10" t="s">
        <v>190</v>
      </c>
      <c r="B11" s="10" t="s">
        <v>183</v>
      </c>
      <c r="C11" s="10" t="s">
        <v>143</v>
      </c>
      <c r="D11" s="10" t="s">
        <v>179</v>
      </c>
      <c r="E11" s="11" t="str">
        <f aca="false">B11&amp;C11&amp;D11</f>
        <v>07X04</v>
      </c>
      <c r="F11" s="10"/>
    </row>
    <row r="12" customFormat="false" ht="15" hidden="false" customHeight="true" outlineLevel="0" collapsed="false">
      <c r="A12" s="10" t="s">
        <v>191</v>
      </c>
      <c r="B12" s="10" t="s">
        <v>183</v>
      </c>
      <c r="C12" s="10" t="s">
        <v>143</v>
      </c>
      <c r="D12" s="10" t="s">
        <v>192</v>
      </c>
      <c r="E12" s="11" t="str">
        <f aca="false">B12&amp;C12&amp;D12</f>
        <v>07X05</v>
      </c>
      <c r="F12" s="10"/>
    </row>
    <row r="13" customFormat="false" ht="15" hidden="false" customHeight="true" outlineLevel="0" collapsed="false">
      <c r="A13" s="10" t="s">
        <v>193</v>
      </c>
      <c r="B13" s="10" t="s">
        <v>183</v>
      </c>
      <c r="C13" s="10" t="s">
        <v>143</v>
      </c>
      <c r="D13" s="10" t="s">
        <v>181</v>
      </c>
      <c r="E13" s="11" t="str">
        <f aca="false">B13&amp;C13&amp;D13</f>
        <v>07X06</v>
      </c>
      <c r="F13" s="10"/>
    </row>
    <row r="14" customFormat="false" ht="15" hidden="false" customHeight="true" outlineLevel="0" collapsed="false">
      <c r="A14" s="10" t="s">
        <v>194</v>
      </c>
      <c r="B14" s="10" t="s">
        <v>195</v>
      </c>
      <c r="C14" s="10" t="s">
        <v>140</v>
      </c>
      <c r="D14" s="10" t="s">
        <v>187</v>
      </c>
      <c r="E14" s="11" t="str">
        <f aca="false">B14&amp;C14&amp;D14</f>
        <v>08Z02</v>
      </c>
      <c r="F14" s="10" t="s">
        <v>196</v>
      </c>
    </row>
    <row r="15" customFormat="false" ht="15" hidden="false" customHeight="true" outlineLevel="0" collapsed="false">
      <c r="A15" s="10" t="s">
        <v>197</v>
      </c>
      <c r="B15" s="10" t="s">
        <v>195</v>
      </c>
      <c r="C15" s="10" t="s">
        <v>140</v>
      </c>
      <c r="D15" s="10" t="s">
        <v>189</v>
      </c>
      <c r="E15" s="11" t="str">
        <f aca="false">B15&amp;C15&amp;D15</f>
        <v>08Z03</v>
      </c>
      <c r="F15" s="10" t="s">
        <v>196</v>
      </c>
    </row>
    <row r="16" customFormat="false" ht="15" hidden="false" customHeight="true" outlineLevel="0" collapsed="false">
      <c r="A16" s="10" t="s">
        <v>198</v>
      </c>
      <c r="B16" s="10" t="s">
        <v>195</v>
      </c>
      <c r="C16" s="10" t="s">
        <v>199</v>
      </c>
      <c r="D16" s="10" t="s">
        <v>179</v>
      </c>
      <c r="E16" s="11" t="str">
        <f aca="false">B16&amp;C16&amp;D16</f>
        <v>08A04</v>
      </c>
      <c r="F16" s="10"/>
    </row>
    <row r="17" customFormat="false" ht="15" hidden="false" customHeight="true" outlineLevel="0" collapsed="false">
      <c r="A17" s="10" t="s">
        <v>200</v>
      </c>
      <c r="B17" s="10" t="s">
        <v>195</v>
      </c>
      <c r="C17" s="10" t="s">
        <v>201</v>
      </c>
      <c r="D17" s="10" t="s">
        <v>179</v>
      </c>
      <c r="E17" s="11" t="str">
        <f aca="false">B17&amp;C17&amp;D17</f>
        <v>08B04</v>
      </c>
      <c r="F17" s="10"/>
    </row>
    <row r="18" customFormat="false" ht="15" hidden="false" customHeight="true" outlineLevel="0" collapsed="false">
      <c r="A18" s="10" t="s">
        <v>202</v>
      </c>
      <c r="B18" s="10" t="s">
        <v>195</v>
      </c>
      <c r="C18" s="10" t="s">
        <v>203</v>
      </c>
      <c r="D18" s="10" t="s">
        <v>179</v>
      </c>
      <c r="E18" s="11" t="str">
        <f aca="false">B18&amp;C18&amp;D18</f>
        <v>08C04</v>
      </c>
      <c r="F18" s="10"/>
    </row>
    <row r="19" customFormat="false" ht="15" hidden="false" customHeight="true" outlineLevel="0" collapsed="false">
      <c r="A19" s="10" t="s">
        <v>204</v>
      </c>
      <c r="B19" s="10" t="s">
        <v>195</v>
      </c>
      <c r="C19" s="10" t="s">
        <v>140</v>
      </c>
      <c r="D19" s="10" t="s">
        <v>181</v>
      </c>
      <c r="E19" s="11" t="str">
        <f aca="false">B19&amp;C19&amp;D19</f>
        <v>08Z06</v>
      </c>
      <c r="F19" s="10"/>
    </row>
    <row r="20" customFormat="false" ht="15" hidden="false" customHeight="true" outlineLevel="0" collapsed="false">
      <c r="A20" s="10" t="s">
        <v>205</v>
      </c>
      <c r="B20" s="10" t="s">
        <v>195</v>
      </c>
      <c r="C20" s="10" t="s">
        <v>143</v>
      </c>
      <c r="D20" s="10" t="s">
        <v>183</v>
      </c>
      <c r="E20" s="11" t="str">
        <f aca="false">B20&amp;C20&amp;D20</f>
        <v>08X07</v>
      </c>
      <c r="F20" s="10" t="s">
        <v>206</v>
      </c>
    </row>
    <row r="21" customFormat="false" ht="15" hidden="false" customHeight="true" outlineLevel="0" collapsed="false">
      <c r="A21" s="10" t="s">
        <v>207</v>
      </c>
      <c r="B21" s="10" t="s">
        <v>195</v>
      </c>
      <c r="C21" s="10" t="s">
        <v>143</v>
      </c>
      <c r="D21" s="10" t="s">
        <v>208</v>
      </c>
      <c r="E21" s="11" t="str">
        <f aca="false">B21&amp;C21&amp;D21</f>
        <v>08X10</v>
      </c>
      <c r="F21" s="10"/>
    </row>
    <row r="22" customFormat="false" ht="15" hidden="false" customHeight="true" outlineLevel="0" collapsed="false">
      <c r="A22" s="10" t="s">
        <v>209</v>
      </c>
      <c r="B22" s="10" t="s">
        <v>195</v>
      </c>
      <c r="C22" s="10" t="s">
        <v>140</v>
      </c>
      <c r="D22" s="10" t="s">
        <v>210</v>
      </c>
      <c r="E22" s="11" t="str">
        <f aca="false">B22&amp;C22&amp;D22</f>
        <v>08Z11</v>
      </c>
      <c r="F22" s="10" t="s">
        <v>211</v>
      </c>
    </row>
    <row r="23" customFormat="false" ht="15" hidden="false" customHeight="true" outlineLevel="0" collapsed="false">
      <c r="A23" s="10" t="s">
        <v>212</v>
      </c>
      <c r="B23" s="10" t="s">
        <v>213</v>
      </c>
      <c r="C23" s="10" t="s">
        <v>199</v>
      </c>
      <c r="D23" s="10" t="s">
        <v>185</v>
      </c>
      <c r="E23" s="11" t="str">
        <f aca="false">B23&amp;C23&amp;D23</f>
        <v>09A01</v>
      </c>
      <c r="F23" s="10"/>
    </row>
    <row r="24" customFormat="false" ht="15" hidden="false" customHeight="true" outlineLevel="0" collapsed="false">
      <c r="A24" s="10" t="s">
        <v>214</v>
      </c>
      <c r="B24" s="10" t="s">
        <v>213</v>
      </c>
      <c r="C24" s="10" t="s">
        <v>140</v>
      </c>
      <c r="D24" s="10" t="s">
        <v>185</v>
      </c>
      <c r="E24" s="11" t="str">
        <f aca="false">B24&amp;C24&amp;D24</f>
        <v>09Z01</v>
      </c>
      <c r="F24" s="10"/>
    </row>
    <row r="25" customFormat="false" ht="15" hidden="false" customHeight="true" outlineLevel="0" collapsed="false">
      <c r="A25" s="10" t="s">
        <v>215</v>
      </c>
      <c r="B25" s="10" t="s">
        <v>208</v>
      </c>
      <c r="C25" s="10" t="s">
        <v>199</v>
      </c>
      <c r="D25" s="10" t="s">
        <v>185</v>
      </c>
      <c r="E25" s="11" t="str">
        <f aca="false">B25&amp;C25&amp;D25</f>
        <v>10A01</v>
      </c>
      <c r="F25" s="10"/>
    </row>
    <row r="26" customFormat="false" ht="15" hidden="false" customHeight="true" outlineLevel="0" collapsed="false">
      <c r="A26" s="10" t="s">
        <v>216</v>
      </c>
      <c r="B26" s="10" t="s">
        <v>208</v>
      </c>
      <c r="C26" s="10" t="s">
        <v>199</v>
      </c>
      <c r="D26" s="10" t="s">
        <v>187</v>
      </c>
      <c r="E26" s="11" t="str">
        <f aca="false">B26&amp;C26&amp;D26</f>
        <v>10A02</v>
      </c>
      <c r="F26" s="10"/>
    </row>
    <row r="27" customFormat="false" ht="15" hidden="false" customHeight="true" outlineLevel="0" collapsed="false">
      <c r="A27" s="10" t="s">
        <v>217</v>
      </c>
      <c r="B27" s="10" t="s">
        <v>208</v>
      </c>
      <c r="C27" s="10" t="s">
        <v>199</v>
      </c>
      <c r="D27" s="10" t="s">
        <v>189</v>
      </c>
      <c r="E27" s="11" t="str">
        <f aca="false">B27&amp;C27&amp;D27</f>
        <v>10A03</v>
      </c>
      <c r="F27" s="10"/>
    </row>
    <row r="28" customFormat="false" ht="15" hidden="false" customHeight="true" outlineLevel="0" collapsed="false">
      <c r="A28" s="10" t="s">
        <v>218</v>
      </c>
      <c r="B28" s="10" t="s">
        <v>208</v>
      </c>
      <c r="C28" s="10" t="s">
        <v>140</v>
      </c>
      <c r="D28" s="10" t="s">
        <v>185</v>
      </c>
      <c r="E28" s="11" t="str">
        <f aca="false">B28&amp;C28&amp;D28</f>
        <v>10Z01</v>
      </c>
      <c r="F28" s="10"/>
    </row>
    <row r="29" customFormat="false" ht="15" hidden="false" customHeight="true" outlineLevel="0" collapsed="false">
      <c r="A29" s="10" t="s">
        <v>219</v>
      </c>
      <c r="B29" s="10" t="s">
        <v>208</v>
      </c>
      <c r="C29" s="10" t="s">
        <v>140</v>
      </c>
      <c r="D29" s="10" t="s">
        <v>187</v>
      </c>
      <c r="E29" s="11" t="str">
        <f aca="false">B29&amp;C29&amp;D29</f>
        <v>10Z02</v>
      </c>
      <c r="F29" s="10"/>
    </row>
    <row r="30" customFormat="false" ht="15" hidden="false" customHeight="true" outlineLevel="0" collapsed="false">
      <c r="A30" s="10" t="s">
        <v>220</v>
      </c>
      <c r="B30" s="10" t="s">
        <v>208</v>
      </c>
      <c r="C30" s="10" t="s">
        <v>140</v>
      </c>
      <c r="D30" s="10" t="s">
        <v>189</v>
      </c>
      <c r="E30" s="11" t="str">
        <f aca="false">B30&amp;C30&amp;D30</f>
        <v>10Z03</v>
      </c>
      <c r="F30" s="10"/>
    </row>
    <row r="31" customFormat="false" ht="15" hidden="false" customHeight="true" outlineLevel="0" collapsed="false">
      <c r="A31" s="10" t="s">
        <v>221</v>
      </c>
      <c r="B31" s="10" t="s">
        <v>222</v>
      </c>
      <c r="C31" s="10" t="s">
        <v>146</v>
      </c>
      <c r="D31" s="10" t="s">
        <v>185</v>
      </c>
      <c r="E31" s="11" t="str">
        <f aca="false">B31&amp;C31&amp;D31</f>
        <v>12001</v>
      </c>
      <c r="F3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36"/>
    <col collapsed="false" customWidth="true" hidden="false" outlineLevel="0" max="7" min="7" style="1" width="60"/>
  </cols>
  <sheetData>
    <row r="1" customFormat="false" ht="15" hidden="false" customHeight="true" outlineLevel="0" collapsed="false">
      <c r="A1" s="2" t="s">
        <v>223</v>
      </c>
    </row>
    <row r="3" customFormat="false" ht="15" hidden="false" customHeight="true" outlineLevel="0" collapsed="false">
      <c r="A3" s="9" t="s">
        <v>224</v>
      </c>
      <c r="B3" s="9" t="s">
        <v>225</v>
      </c>
      <c r="C3" s="9" t="s">
        <v>226</v>
      </c>
      <c r="D3" s="9" t="s">
        <v>227</v>
      </c>
      <c r="E3" s="9" t="s">
        <v>228</v>
      </c>
      <c r="F3" s="9" t="s">
        <v>229</v>
      </c>
      <c r="G3" s="9" t="s">
        <v>70</v>
      </c>
    </row>
    <row r="4" customFormat="false" ht="15" hidden="false" customHeight="true" outlineLevel="0" collapsed="false">
      <c r="A4" s="11" t="s">
        <v>139</v>
      </c>
      <c r="B4" s="10" t="s">
        <v>230</v>
      </c>
      <c r="C4" s="10" t="s">
        <v>198</v>
      </c>
      <c r="D4" s="10" t="s">
        <v>199</v>
      </c>
      <c r="E4" s="10"/>
      <c r="F4" s="10" t="s">
        <v>231</v>
      </c>
      <c r="G4" s="10" t="s">
        <v>232</v>
      </c>
    </row>
    <row r="5" customFormat="false" ht="15" hidden="false" customHeight="true" outlineLevel="0" collapsed="false">
      <c r="A5" s="11" t="s">
        <v>233</v>
      </c>
      <c r="B5" s="10" t="s">
        <v>234</v>
      </c>
      <c r="C5" s="10" t="s">
        <v>200</v>
      </c>
      <c r="D5" s="10" t="s">
        <v>201</v>
      </c>
      <c r="E5" s="10"/>
      <c r="F5" s="10" t="s">
        <v>235</v>
      </c>
      <c r="G5" s="10"/>
    </row>
    <row r="6" customFormat="false" ht="15" hidden="false" customHeight="true" outlineLevel="0" collapsed="false">
      <c r="A6" s="11" t="s">
        <v>236</v>
      </c>
      <c r="B6" s="10" t="s">
        <v>237</v>
      </c>
      <c r="C6" s="10" t="s">
        <v>202</v>
      </c>
      <c r="D6" s="10" t="s">
        <v>203</v>
      </c>
      <c r="E6" s="10"/>
      <c r="F6" s="10" t="s">
        <v>238</v>
      </c>
      <c r="G6" s="10"/>
    </row>
    <row r="7" customFormat="false" ht="15" hidden="false" customHeight="true" outlineLevel="0" collapsed="false">
      <c r="A7" s="11" t="s">
        <v>239</v>
      </c>
      <c r="B7" s="10" t="s">
        <v>240</v>
      </c>
      <c r="C7" s="10" t="s">
        <v>241</v>
      </c>
      <c r="D7" s="10" t="s">
        <v>242</v>
      </c>
      <c r="E7" s="10"/>
      <c r="F7" s="10"/>
      <c r="G7" s="10" t="s">
        <v>243</v>
      </c>
    </row>
    <row r="8" customFormat="false" ht="15" hidden="false" customHeight="true" outlineLevel="0" collapsed="false">
      <c r="A8" s="11" t="s">
        <v>145</v>
      </c>
      <c r="B8" s="10" t="s">
        <v>240</v>
      </c>
      <c r="C8" s="10" t="s">
        <v>244</v>
      </c>
      <c r="D8" s="10" t="s">
        <v>245</v>
      </c>
      <c r="E8" s="10"/>
      <c r="F8" s="10" t="s">
        <v>246</v>
      </c>
      <c r="G8" s="10" t="s">
        <v>247</v>
      </c>
    </row>
    <row r="9" customFormat="false" ht="15" hidden="false" customHeight="true" outlineLevel="0" collapsed="false">
      <c r="A9" s="11" t="s">
        <v>248</v>
      </c>
      <c r="B9" s="10" t="s">
        <v>249</v>
      </c>
      <c r="C9" s="10" t="s">
        <v>250</v>
      </c>
      <c r="D9" s="10" t="s">
        <v>199</v>
      </c>
      <c r="E9" s="10"/>
      <c r="F9" s="10" t="s">
        <v>251</v>
      </c>
      <c r="G9" s="10"/>
    </row>
    <row r="10" customFormat="false" ht="15" hidden="false" customHeight="true" outlineLevel="0" collapsed="false">
      <c r="A10" s="11" t="s">
        <v>252</v>
      </c>
      <c r="B10" s="10" t="s">
        <v>253</v>
      </c>
      <c r="C10" s="10" t="s">
        <v>204</v>
      </c>
      <c r="D10" s="10" t="s">
        <v>201</v>
      </c>
      <c r="E10" s="10"/>
      <c r="F10" s="10" t="s">
        <v>254</v>
      </c>
      <c r="G10" s="10"/>
    </row>
    <row r="11" customFormat="false" ht="15" hidden="false" customHeight="true" outlineLevel="0" collapsed="false">
      <c r="A11" s="11" t="s">
        <v>255</v>
      </c>
      <c r="B11" s="10" t="s">
        <v>256</v>
      </c>
      <c r="C11" s="10" t="s">
        <v>204</v>
      </c>
      <c r="D11" s="10" t="s">
        <v>203</v>
      </c>
      <c r="E11" s="10"/>
      <c r="F11" s="10" t="s">
        <v>257</v>
      </c>
      <c r="G11" s="10"/>
    </row>
    <row r="12" customFormat="false" ht="15" hidden="false" customHeight="true" outlineLevel="0" collapsed="false">
      <c r="A12" s="11" t="s">
        <v>258</v>
      </c>
      <c r="B12" s="10" t="s">
        <v>259</v>
      </c>
      <c r="C12" s="10" t="s">
        <v>205</v>
      </c>
      <c r="D12" s="10" t="s">
        <v>199</v>
      </c>
      <c r="E12" s="10"/>
      <c r="F12" s="10" t="s">
        <v>260</v>
      </c>
      <c r="G12" s="10"/>
    </row>
    <row r="13" customFormat="false" ht="15" hidden="false" customHeight="true" outlineLevel="0" collapsed="false">
      <c r="A13" s="11" t="s">
        <v>261</v>
      </c>
      <c r="B13" s="10" t="s">
        <v>262</v>
      </c>
      <c r="C13" s="10" t="s">
        <v>205</v>
      </c>
      <c r="D13" s="10" t="s">
        <v>242</v>
      </c>
      <c r="E13" s="10"/>
      <c r="F13" s="10" t="s">
        <v>263</v>
      </c>
      <c r="G13" s="10" t="s">
        <v>264</v>
      </c>
    </row>
    <row r="14" customFormat="false" ht="15" hidden="false" customHeight="true" outlineLevel="0" collapsed="false">
      <c r="A14" s="11" t="s">
        <v>265</v>
      </c>
      <c r="B14" s="10" t="s">
        <v>266</v>
      </c>
      <c r="C14" s="10" t="s">
        <v>267</v>
      </c>
      <c r="D14" s="10" t="s">
        <v>199</v>
      </c>
      <c r="E14" s="10"/>
      <c r="F14" s="10" t="s">
        <v>268</v>
      </c>
      <c r="G14" s="10" t="s">
        <v>269</v>
      </c>
    </row>
    <row r="15" customFormat="false" ht="15" hidden="false" customHeight="true" outlineLevel="0" collapsed="false">
      <c r="A15" s="11" t="s">
        <v>270</v>
      </c>
      <c r="B15" s="10" t="s">
        <v>271</v>
      </c>
      <c r="C15" s="10" t="s">
        <v>209</v>
      </c>
      <c r="D15" s="10" t="s">
        <v>201</v>
      </c>
      <c r="E15" s="10"/>
      <c r="F15" s="10" t="s">
        <v>272</v>
      </c>
      <c r="G15" s="10" t="s">
        <v>273</v>
      </c>
    </row>
    <row r="16" customFormat="false" ht="15" hidden="false" customHeight="true" outlineLevel="0" collapsed="false">
      <c r="A16" s="11" t="s">
        <v>274</v>
      </c>
      <c r="B16" s="10" t="s">
        <v>275</v>
      </c>
      <c r="C16" s="10" t="s">
        <v>209</v>
      </c>
      <c r="D16" s="10" t="s">
        <v>203</v>
      </c>
      <c r="E16" s="10"/>
      <c r="F16" s="10" t="s">
        <v>276</v>
      </c>
      <c r="G16" s="10"/>
    </row>
    <row r="17" customFormat="false" ht="15" hidden="false" customHeight="true" outlineLevel="0" collapsed="false">
      <c r="A17" s="11" t="s">
        <v>142</v>
      </c>
      <c r="B17" s="10" t="s">
        <v>240</v>
      </c>
      <c r="C17" s="10" t="s">
        <v>209</v>
      </c>
      <c r="D17" s="10" t="s">
        <v>242</v>
      </c>
      <c r="E17" s="10"/>
      <c r="F17" s="10"/>
      <c r="G17" s="10" t="s">
        <v>277</v>
      </c>
    </row>
    <row r="18" customFormat="false" ht="15" hidden="false" customHeight="true" outlineLevel="0" collapsed="false">
      <c r="A18" s="11" t="s">
        <v>17</v>
      </c>
      <c r="B18" s="10" t="s">
        <v>278</v>
      </c>
      <c r="C18" s="10" t="s">
        <v>279</v>
      </c>
      <c r="D18" s="10" t="s">
        <v>245</v>
      </c>
      <c r="E18" s="10" t="s">
        <v>280</v>
      </c>
      <c r="F18" s="10" t="s">
        <v>281</v>
      </c>
      <c r="G18" s="10" t="s">
        <v>282</v>
      </c>
    </row>
    <row r="19" customFormat="false" ht="15" hidden="false" customHeight="true" outlineLevel="0" collapsed="false">
      <c r="A19" s="11" t="s">
        <v>283</v>
      </c>
      <c r="B19" s="10" t="s">
        <v>284</v>
      </c>
      <c r="C19" s="10" t="s">
        <v>279</v>
      </c>
      <c r="D19" s="10" t="s">
        <v>245</v>
      </c>
      <c r="E19" s="10" t="s">
        <v>285</v>
      </c>
      <c r="F19" s="10" t="s">
        <v>286</v>
      </c>
      <c r="G19" s="10" t="s">
        <v>287</v>
      </c>
    </row>
    <row r="20" customFormat="false" ht="15" hidden="false" customHeight="true" outlineLevel="0" collapsed="false">
      <c r="A20" s="11" t="s">
        <v>288</v>
      </c>
      <c r="B20" s="10" t="s">
        <v>240</v>
      </c>
      <c r="C20" s="10" t="s">
        <v>289</v>
      </c>
      <c r="D20" s="10" t="s">
        <v>245</v>
      </c>
      <c r="E20" s="10"/>
      <c r="F20" s="10" t="s">
        <v>290</v>
      </c>
      <c r="G20" s="10" t="s">
        <v>291</v>
      </c>
    </row>
    <row r="21" customFormat="false" ht="15" hidden="false" customHeight="true" outlineLevel="0" collapsed="false">
      <c r="A21" s="11" t="s">
        <v>292</v>
      </c>
      <c r="B21" s="10" t="s">
        <v>240</v>
      </c>
      <c r="C21" s="10" t="s">
        <v>293</v>
      </c>
      <c r="D21" s="10" t="s">
        <v>201</v>
      </c>
      <c r="E21" s="10"/>
      <c r="F21" s="10" t="s">
        <v>290</v>
      </c>
      <c r="G21" s="10" t="s">
        <v>294</v>
      </c>
    </row>
    <row r="22" customFormat="false" ht="23.25" hidden="false" customHeight="true" outlineLevel="0" collapsed="false">
      <c r="A22" s="11" t="s">
        <v>15</v>
      </c>
      <c r="B22" s="10"/>
      <c r="C22" s="10" t="s">
        <v>295</v>
      </c>
      <c r="D22" s="10"/>
      <c r="E22" s="10"/>
      <c r="F22" s="10" t="s">
        <v>296</v>
      </c>
      <c r="G22" s="1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0"/>
  </cols>
  <sheetData>
    <row r="1" customFormat="false" ht="15" hidden="false" customHeight="true" outlineLevel="0" collapsed="false">
      <c r="A1" s="2" t="s">
        <v>298</v>
      </c>
    </row>
    <row r="3" customFormat="false" ht="15" hidden="false" customHeight="true" outlineLevel="0" collapsed="false">
      <c r="A3" s="9" t="s">
        <v>299</v>
      </c>
      <c r="B3" s="9" t="s">
        <v>300</v>
      </c>
    </row>
    <row r="4" customFormat="false" ht="23.25" hidden="false" customHeight="true" outlineLevel="0" collapsed="false">
      <c r="A4" s="11" t="s">
        <v>301</v>
      </c>
      <c r="B4" s="10" t="s">
        <v>302</v>
      </c>
    </row>
    <row r="5" customFormat="false" ht="15" hidden="false" customHeight="true" outlineLevel="0" collapsed="false">
      <c r="A5" s="11" t="s">
        <v>303</v>
      </c>
      <c r="B5" s="10" t="s">
        <v>304</v>
      </c>
    </row>
    <row r="6" customFormat="false" ht="23.25" hidden="false" customHeight="true" outlineLevel="0" collapsed="false">
      <c r="A6" s="11" t="s">
        <v>305</v>
      </c>
      <c r="B6" s="10" t="s">
        <v>306</v>
      </c>
    </row>
    <row r="7" customFormat="false" ht="23.25" hidden="false" customHeight="true" outlineLevel="0" collapsed="false">
      <c r="A7" s="11" t="s">
        <v>307</v>
      </c>
      <c r="B7" s="10" t="s">
        <v>308</v>
      </c>
    </row>
    <row r="8" customFormat="false" ht="15" hidden="false" customHeight="true" outlineLevel="0" collapsed="false">
      <c r="A8" s="11" t="s">
        <v>309</v>
      </c>
      <c r="B8" s="10" t="s">
        <v>310</v>
      </c>
    </row>
    <row r="9" customFormat="false" ht="23.25" hidden="false" customHeight="true" outlineLevel="0" collapsed="false">
      <c r="A9" s="11" t="s">
        <v>311</v>
      </c>
      <c r="B9" s="10" t="s">
        <v>312</v>
      </c>
    </row>
    <row r="10" customFormat="false" ht="15" hidden="false" customHeight="true" outlineLevel="0" collapsed="false">
      <c r="A10" s="11" t="s">
        <v>313</v>
      </c>
      <c r="B10" s="10" t="s">
        <v>314</v>
      </c>
    </row>
    <row r="11" customFormat="false" ht="15" hidden="false" customHeight="true" outlineLevel="0" collapsed="false">
      <c r="A11" s="11" t="s">
        <v>315</v>
      </c>
      <c r="B11" s="10" t="s">
        <v>316</v>
      </c>
    </row>
    <row r="12" customFormat="false" ht="15" hidden="false" customHeight="true" outlineLevel="0" collapsed="false">
      <c r="A12" s="11" t="s">
        <v>317</v>
      </c>
      <c r="B12" s="10" t="s">
        <v>318</v>
      </c>
    </row>
    <row r="13" customFormat="false" ht="15" hidden="false" customHeight="true" outlineLevel="0" collapsed="false">
      <c r="A13" s="11" t="s">
        <v>319</v>
      </c>
      <c r="B13" s="10" t="s">
        <v>320</v>
      </c>
    </row>
    <row r="14" customFormat="false" ht="15" hidden="false" customHeight="true" outlineLevel="0" collapsed="false">
      <c r="A14" s="11" t="s">
        <v>321</v>
      </c>
      <c r="B14" s="10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0"/>
    <col collapsed="false" customWidth="true" hidden="false" outlineLevel="0" max="3" min="3" style="1" width="30"/>
  </cols>
  <sheetData>
    <row r="1" customFormat="false" ht="15" hidden="false" customHeight="true" outlineLevel="0" collapsed="false">
      <c r="A1" s="2" t="s">
        <v>323</v>
      </c>
    </row>
    <row r="3" customFormat="false" ht="15" hidden="false" customHeight="true" outlineLevel="0" collapsed="false">
      <c r="A3" s="9" t="s">
        <v>133</v>
      </c>
      <c r="B3" s="9" t="s">
        <v>299</v>
      </c>
      <c r="C3" s="9" t="s">
        <v>135</v>
      </c>
    </row>
    <row r="4" customFormat="false" ht="15" hidden="false" customHeight="true" outlineLevel="0" collapsed="false">
      <c r="A4" s="11" t="s">
        <v>324</v>
      </c>
      <c r="B4" s="10" t="s">
        <v>325</v>
      </c>
      <c r="C4" s="10" t="s">
        <v>326</v>
      </c>
    </row>
    <row r="5" customFormat="false" ht="23.25" hidden="false" customHeight="true" outlineLevel="0" collapsed="false">
      <c r="A5" s="11" t="s">
        <v>327</v>
      </c>
      <c r="B5" s="10" t="s">
        <v>328</v>
      </c>
      <c r="C5" s="10" t="s">
        <v>329</v>
      </c>
    </row>
    <row r="6" customFormat="false" ht="15" hidden="false" customHeight="true" outlineLevel="0" collapsed="false">
      <c r="A6" s="11" t="s">
        <v>330</v>
      </c>
      <c r="B6" s="10" t="s">
        <v>331</v>
      </c>
      <c r="C6" s="10" t="s">
        <v>332</v>
      </c>
    </row>
    <row r="7" customFormat="false" ht="15" hidden="false" customHeight="true" outlineLevel="0" collapsed="false">
      <c r="A7" s="11" t="s">
        <v>333</v>
      </c>
      <c r="B7" s="10" t="s">
        <v>334</v>
      </c>
      <c r="C7" s="10" t="s">
        <v>335</v>
      </c>
    </row>
    <row r="8" customFormat="false" ht="15" hidden="false" customHeight="true" outlineLevel="0" collapsed="false">
      <c r="A8" s="11" t="s">
        <v>336</v>
      </c>
      <c r="B8" s="10" t="s">
        <v>337</v>
      </c>
      <c r="C8" s="10" t="s">
        <v>338</v>
      </c>
    </row>
    <row r="9" customFormat="false" ht="23.25" hidden="false" customHeight="true" outlineLevel="0" collapsed="false">
      <c r="A9" s="11" t="s">
        <v>339</v>
      </c>
      <c r="B9" s="10" t="s">
        <v>340</v>
      </c>
      <c r="C9" s="10" t="s">
        <v>341</v>
      </c>
    </row>
    <row r="10" customFormat="false" ht="15" hidden="false" customHeight="true" outlineLevel="0" collapsed="false">
      <c r="A10" s="11" t="s">
        <v>342</v>
      </c>
      <c r="B10" s="10" t="s">
        <v>343</v>
      </c>
      <c r="C10" s="10" t="s">
        <v>344</v>
      </c>
    </row>
    <row r="11" customFormat="false" ht="23.25" hidden="false" customHeight="true" outlineLevel="0" collapsed="false">
      <c r="A11" s="11" t="s">
        <v>345</v>
      </c>
      <c r="B11" s="10" t="s">
        <v>346</v>
      </c>
      <c r="C11" s="10"/>
    </row>
    <row r="12" customFormat="false" ht="15" hidden="false" customHeight="true" outlineLevel="0" collapsed="false">
      <c r="A12" s="11" t="s">
        <v>347</v>
      </c>
      <c r="B12" s="10" t="s">
        <v>348</v>
      </c>
      <c r="C1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31" activeCellId="0" sqref="F31"/>
    </sheetView>
  </sheetViews>
  <sheetFormatPr defaultColWidth="8.71484375" defaultRowHeight="15" zeroHeight="false" outlineLevelRow="0" outlineLevelCol="0"/>
  <cols>
    <col collapsed="false" customWidth="true" hidden="false" outlineLevel="0" max="3" min="1" style="1" width="10"/>
    <col collapsed="false" customWidth="true" hidden="false" outlineLevel="0" max="4" min="4" style="1" width="18"/>
    <col collapsed="false" customWidth="true" hidden="false" outlineLevel="0" max="5" min="5" style="1" width="44"/>
    <col collapsed="false" customWidth="true" hidden="false" outlineLevel="0" max="6" min="6" style="1" width="70"/>
  </cols>
  <sheetData>
    <row r="1" customFormat="false" ht="15.75" hidden="false" customHeight="true" outlineLevel="0" collapsed="false">
      <c r="A1" s="2" t="s">
        <v>349</v>
      </c>
    </row>
    <row r="2" customFormat="false" ht="15" hidden="false" customHeight="true" outlineLevel="0" collapsed="false">
      <c r="A2" s="1" t="s">
        <v>350</v>
      </c>
    </row>
    <row r="4" customFormat="false" ht="15" hidden="false" customHeight="true" outlineLevel="0" collapsed="false">
      <c r="A4" s="9" t="s">
        <v>4</v>
      </c>
      <c r="B4" s="9" t="s">
        <v>351</v>
      </c>
      <c r="C4" s="9" t="s">
        <v>352</v>
      </c>
      <c r="D4" s="9" t="s">
        <v>353</v>
      </c>
      <c r="E4" s="9" t="s">
        <v>354</v>
      </c>
      <c r="F4" s="9" t="s">
        <v>355</v>
      </c>
    </row>
    <row r="5" customFormat="false" ht="15" hidden="false" customHeight="true" outlineLevel="0" collapsed="false">
      <c r="A5" s="10" t="s">
        <v>265</v>
      </c>
      <c r="B5" s="10" t="s">
        <v>84</v>
      </c>
      <c r="C5" s="10" t="s">
        <v>356</v>
      </c>
      <c r="D5" s="11" t="str">
        <f aca="false">A5&amp;"-"&amp;B5&amp;"-"&amp;C5</f>
        <v>08A11-SFA-1T</v>
      </c>
      <c r="E5" s="10" t="s">
        <v>357</v>
      </c>
      <c r="F5" s="10" t="s">
        <v>358</v>
      </c>
    </row>
    <row r="6" customFormat="false" ht="23.25" hidden="false" customHeight="true" outlineLevel="0" collapsed="false">
      <c r="A6" s="10" t="s">
        <v>142</v>
      </c>
      <c r="B6" s="10" t="s">
        <v>84</v>
      </c>
      <c r="C6" s="10" t="s">
        <v>356</v>
      </c>
      <c r="D6" s="11" t="str">
        <f aca="false">A6&amp;"-"&amp;B6&amp;"-"&amp;C6</f>
        <v>08Z11-SFA-1T</v>
      </c>
      <c r="E6" s="10" t="s">
        <v>359</v>
      </c>
      <c r="F6" s="10" t="s">
        <v>360</v>
      </c>
    </row>
    <row r="7" customFormat="false" ht="15" hidden="false" customHeight="true" outlineLevel="0" collapsed="false">
      <c r="A7" s="10" t="s">
        <v>142</v>
      </c>
      <c r="B7" s="10" t="s">
        <v>84</v>
      </c>
      <c r="C7" s="10" t="s">
        <v>361</v>
      </c>
      <c r="D7" s="11" t="str">
        <f aca="false">A7&amp;"-"&amp;B7&amp;"-"&amp;C7</f>
        <v>08Z11-SFA-1B</v>
      </c>
      <c r="E7" s="10" t="s">
        <v>362</v>
      </c>
      <c r="F7" s="10" t="s">
        <v>363</v>
      </c>
    </row>
    <row r="8" customFormat="false" ht="15" hidden="false" customHeight="true" outlineLevel="0" collapsed="false">
      <c r="A8" s="10" t="s">
        <v>265</v>
      </c>
      <c r="B8" s="10" t="s">
        <v>73</v>
      </c>
      <c r="C8" s="10" t="s">
        <v>185</v>
      </c>
      <c r="D8" s="11" t="str">
        <f aca="false">A8&amp;"-"&amp;B8&amp;"-"&amp;C8</f>
        <v>08A11-HBA-01</v>
      </c>
      <c r="E8" s="10" t="s">
        <v>364</v>
      </c>
      <c r="F8" s="10" t="s">
        <v>365</v>
      </c>
    </row>
    <row r="9" customFormat="false" ht="15" hidden="false" customHeight="true" outlineLevel="0" collapsed="false">
      <c r="A9" s="10" t="s">
        <v>265</v>
      </c>
      <c r="B9" s="10" t="s">
        <v>74</v>
      </c>
      <c r="C9" s="10" t="s">
        <v>185</v>
      </c>
      <c r="D9" s="11" t="str">
        <f aca="false">A9&amp;"-"&amp;B9&amp;"-"&amp;C9</f>
        <v>08A11-HBW-01</v>
      </c>
      <c r="E9" s="10" t="s">
        <v>366</v>
      </c>
      <c r="F9" s="10" t="s">
        <v>367</v>
      </c>
    </row>
    <row r="10" customFormat="false" ht="15" hidden="false" customHeight="true" outlineLevel="0" collapsed="false">
      <c r="A10" s="10" t="s">
        <v>270</v>
      </c>
      <c r="B10" s="10" t="s">
        <v>73</v>
      </c>
      <c r="C10" s="10" t="s">
        <v>185</v>
      </c>
      <c r="D10" s="11" t="str">
        <f aca="false">A10&amp;"-"&amp;B10&amp;"-"&amp;C10</f>
        <v>08B11-HBA-01</v>
      </c>
      <c r="E10" s="10" t="s">
        <v>368</v>
      </c>
      <c r="F10" s="10" t="s">
        <v>369</v>
      </c>
    </row>
    <row r="11" customFormat="false" ht="15" hidden="false" customHeight="true" outlineLevel="0" collapsed="false">
      <c r="A11" s="10" t="s">
        <v>145</v>
      </c>
      <c r="B11" s="10" t="s">
        <v>100</v>
      </c>
      <c r="C11" s="10" t="s">
        <v>185</v>
      </c>
      <c r="D11" s="11" t="str">
        <f aca="false">A11&amp;"-"&amp;B11&amp;"-"&amp;C11</f>
        <v>08X04-PLP-01</v>
      </c>
      <c r="E11" s="10" t="s">
        <v>370</v>
      </c>
      <c r="F11" s="10" t="s">
        <v>371</v>
      </c>
    </row>
    <row r="12" customFormat="false" ht="15" hidden="false" customHeight="true" outlineLevel="0" collapsed="false">
      <c r="A12" s="10" t="s">
        <v>145</v>
      </c>
      <c r="B12" s="10" t="s">
        <v>116</v>
      </c>
      <c r="C12" s="10" t="s">
        <v>185</v>
      </c>
      <c r="D12" s="11" t="str">
        <f aca="false">A12&amp;"-"&amp;B12&amp;"-"&amp;C12</f>
        <v>08X04-BKA-01</v>
      </c>
      <c r="E12" s="10" t="s">
        <v>372</v>
      </c>
      <c r="F12" s="10" t="s">
        <v>373</v>
      </c>
    </row>
    <row r="13" customFormat="false" ht="15" hidden="false" customHeight="true" outlineLevel="0" collapsed="false">
      <c r="A13" s="10" t="s">
        <v>145</v>
      </c>
      <c r="B13" s="10" t="s">
        <v>118</v>
      </c>
      <c r="C13" s="10" t="s">
        <v>185</v>
      </c>
      <c r="D13" s="11" t="str">
        <f aca="false">A13&amp;"-"&amp;B13&amp;"-"&amp;C13</f>
        <v>08X04-BKP-01</v>
      </c>
      <c r="E13" s="10" t="s">
        <v>374</v>
      </c>
      <c r="F13" s="10" t="s">
        <v>375</v>
      </c>
    </row>
    <row r="14" customFormat="false" ht="15" hidden="false" customHeight="true" outlineLevel="0" collapsed="false">
      <c r="A14" s="10" t="s">
        <v>145</v>
      </c>
      <c r="B14" s="10" t="s">
        <v>32</v>
      </c>
      <c r="C14" s="10" t="s">
        <v>185</v>
      </c>
      <c r="D14" s="11" t="str">
        <f aca="false">A14&amp;"-"&amp;B14&amp;"-"&amp;C14</f>
        <v>08X04-FSA-01</v>
      </c>
      <c r="E14" s="10" t="s">
        <v>376</v>
      </c>
      <c r="F14" s="10" t="s">
        <v>377</v>
      </c>
    </row>
    <row r="15" customFormat="false" ht="15" hidden="false" customHeight="true" outlineLevel="0" collapsed="false">
      <c r="A15" s="10" t="s">
        <v>239</v>
      </c>
      <c r="B15" s="10" t="s">
        <v>84</v>
      </c>
      <c r="C15" s="10" t="s">
        <v>378</v>
      </c>
      <c r="D15" s="11" t="str">
        <f aca="false">A15&amp;"-"&amp;B15&amp;"-"&amp;C15</f>
        <v>08Z04-SFA-1X</v>
      </c>
      <c r="E15" s="10" t="s">
        <v>379</v>
      </c>
      <c r="F15" s="10" t="s">
        <v>380</v>
      </c>
    </row>
    <row r="16" customFormat="false" ht="15" hidden="false" customHeight="true" outlineLevel="0" collapsed="false">
      <c r="A16" s="10" t="s">
        <v>145</v>
      </c>
      <c r="B16" s="10" t="s">
        <v>91</v>
      </c>
      <c r="C16" s="10" t="s">
        <v>185</v>
      </c>
      <c r="D16" s="11" t="str">
        <f aca="false">A16&amp;"-"&amp;B16&amp;"-"&amp;C16</f>
        <v>08X04-LMW-01</v>
      </c>
      <c r="E16" s="10" t="s">
        <v>381</v>
      </c>
      <c r="F16" s="10" t="s">
        <v>382</v>
      </c>
    </row>
    <row r="17" customFormat="false" ht="15" hidden="false" customHeight="true" outlineLevel="0" collapsed="false">
      <c r="A17" s="10" t="s">
        <v>288</v>
      </c>
      <c r="B17" s="10" t="s">
        <v>100</v>
      </c>
      <c r="C17" s="10" t="s">
        <v>185</v>
      </c>
      <c r="D17" s="11" t="str">
        <f aca="false">A17&amp;"-"&amp;B17&amp;"-"&amp;C17</f>
        <v>08XXX-PLP-01</v>
      </c>
      <c r="E17" s="10" t="s">
        <v>383</v>
      </c>
      <c r="F17" s="10" t="s">
        <v>384</v>
      </c>
    </row>
    <row r="18" customFormat="false" ht="15" hidden="false" customHeight="true" outlineLevel="0" collapsed="false">
      <c r="A18" s="10" t="s">
        <v>288</v>
      </c>
      <c r="B18" s="10" t="s">
        <v>74</v>
      </c>
      <c r="C18" s="10" t="s">
        <v>185</v>
      </c>
      <c r="D18" s="11" t="str">
        <f aca="false">A18&amp;"-"&amp;B18&amp;"-"&amp;C18</f>
        <v>08XXX-HBW-01</v>
      </c>
      <c r="E18" s="10" t="s">
        <v>385</v>
      </c>
      <c r="F18" s="10" t="s">
        <v>386</v>
      </c>
    </row>
    <row r="19" customFormat="false" ht="23.25" hidden="false" customHeight="true" outlineLevel="0" collapsed="false">
      <c r="A19" s="10" t="s">
        <v>292</v>
      </c>
      <c r="B19" s="10" t="s">
        <v>118</v>
      </c>
      <c r="C19" s="10" t="s">
        <v>185</v>
      </c>
      <c r="D19" s="11" t="str">
        <f aca="false">A19&amp;"-"&amp;B19&amp;"-"&amp;C19</f>
        <v>08BXX-BKP-01</v>
      </c>
      <c r="E19" s="10" t="s">
        <v>294</v>
      </c>
      <c r="F19" s="10" t="s">
        <v>387</v>
      </c>
    </row>
    <row r="20" customFormat="false" ht="15" hidden="false" customHeight="true" outlineLevel="0" collapsed="false">
      <c r="A20" s="10" t="s">
        <v>17</v>
      </c>
      <c r="B20" s="10" t="s">
        <v>84</v>
      </c>
      <c r="C20" s="10" t="s">
        <v>378</v>
      </c>
      <c r="D20" s="11" t="str">
        <f aca="false">A20&amp;"-"&amp;B20&amp;"-"&amp;C20</f>
        <v>08MGL-SFA-1X</v>
      </c>
      <c r="E20" s="10" t="s">
        <v>388</v>
      </c>
      <c r="F20" s="10" t="s">
        <v>389</v>
      </c>
    </row>
    <row r="21" customFormat="false" ht="15" hidden="false" customHeight="true" outlineLevel="0" collapsed="false">
      <c r="A21" s="10" t="s">
        <v>283</v>
      </c>
      <c r="B21" s="10" t="s">
        <v>84</v>
      </c>
      <c r="C21" s="10" t="s">
        <v>378</v>
      </c>
      <c r="D21" s="11" t="str">
        <f aca="false">A21&amp;"-"&amp;B21&amp;"-"&amp;C21</f>
        <v>08MGR-SFA-1X</v>
      </c>
      <c r="E21" s="10"/>
      <c r="F21" s="10" t="s">
        <v>390</v>
      </c>
    </row>
    <row r="22" customFormat="false" ht="15" hidden="false" customHeight="true" outlineLevel="0" collapsed="false">
      <c r="A22" s="10" t="s">
        <v>15</v>
      </c>
      <c r="B22" s="10" t="s">
        <v>121</v>
      </c>
      <c r="C22" s="10" t="s">
        <v>185</v>
      </c>
      <c r="D22" s="11" t="str">
        <f aca="false">A22&amp;"-"&amp;B22&amp;"-"&amp;C22</f>
        <v>STOCK-PKP-01</v>
      </c>
      <c r="E22" s="10" t="s">
        <v>391</v>
      </c>
      <c r="F22" s="10" t="s">
        <v>392</v>
      </c>
    </row>
    <row r="23" customFormat="false" ht="15" hidden="false" customHeight="true" outlineLevel="0" collapsed="false">
      <c r="A23" s="10" t="s">
        <v>15</v>
      </c>
      <c r="B23" s="10" t="s">
        <v>106</v>
      </c>
      <c r="C23" s="10" t="s">
        <v>183</v>
      </c>
      <c r="D23" s="11" t="str">
        <f aca="false">A23&amp;"-"&amp;B23&amp;"-"&amp;C23</f>
        <v>STOCK-BRP-07</v>
      </c>
      <c r="E23" s="10" t="s">
        <v>393</v>
      </c>
      <c r="F23" s="10" t="s">
        <v>394</v>
      </c>
    </row>
    <row r="24" customFormat="false" ht="15" hidden="false" customHeight="true" outlineLevel="0" collapsed="false">
      <c r="A24" s="10" t="s">
        <v>15</v>
      </c>
      <c r="B24" s="10" t="s">
        <v>96</v>
      </c>
      <c r="C24" s="10" t="s">
        <v>185</v>
      </c>
      <c r="D24" s="11" t="str">
        <f aca="false">A24&amp;"-"&amp;B24&amp;"-"&amp;C24</f>
        <v>STOCK-LPP-01</v>
      </c>
      <c r="E24" s="10" t="s">
        <v>395</v>
      </c>
      <c r="F24" s="10" t="s">
        <v>396</v>
      </c>
    </row>
    <row r="25" customFormat="false" ht="15" hidden="false" customHeight="true" outlineLevel="0" collapsed="false">
      <c r="A25" s="10" t="s">
        <v>15</v>
      </c>
      <c r="B25" s="10" t="s">
        <v>32</v>
      </c>
      <c r="C25" s="10" t="s">
        <v>185</v>
      </c>
      <c r="D25" s="11" t="str">
        <f aca="false">A25&amp;"-"&amp;B25&amp;"-"&amp;C25</f>
        <v>STOCK-FSA-01</v>
      </c>
      <c r="E25" s="10" t="s">
        <v>397</v>
      </c>
      <c r="F25" s="10" t="s">
        <v>398</v>
      </c>
    </row>
    <row r="26" customFormat="false" ht="15" hidden="false" customHeight="true" outlineLevel="0" collapsed="false">
      <c r="A26" s="10" t="s">
        <v>139</v>
      </c>
      <c r="B26" s="10" t="s">
        <v>79</v>
      </c>
      <c r="C26" s="10" t="s">
        <v>185</v>
      </c>
      <c r="D26" s="11" t="str">
        <f aca="false">A26&amp;"-"&amp;B26&amp;"-"&amp;C26</f>
        <v>08A04-KBA-01</v>
      </c>
      <c r="E26" s="10" t="s">
        <v>399</v>
      </c>
      <c r="F26" s="10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8" min="6" style="0" width="6"/>
    <col collapsed="false" customWidth="true" hidden="false" outlineLevel="0" max="9" min="9" style="0" width="18"/>
    <col collapsed="false" customWidth="true" hidden="false" outlineLevel="0" max="10" min="10" style="0" width="60"/>
    <col collapsed="false" customWidth="true" hidden="false" outlineLevel="0" max="11" min="11" style="0" width="48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2" t="s">
        <v>401</v>
      </c>
    </row>
    <row r="2" customFormat="false" ht="15" hidden="false" customHeight="false" outlineLevel="0" collapsed="false">
      <c r="A2" s="1" t="s">
        <v>402</v>
      </c>
    </row>
    <row r="4" customFormat="false" ht="23.85" hidden="false" customHeight="false" outlineLevel="0" collapsed="false">
      <c r="A4" s="9" t="s">
        <v>403</v>
      </c>
      <c r="B4" s="9" t="s">
        <v>404</v>
      </c>
      <c r="C4" s="9" t="s">
        <v>405</v>
      </c>
      <c r="D4" s="9" t="s">
        <v>406</v>
      </c>
      <c r="E4" s="9" t="s">
        <v>4</v>
      </c>
      <c r="F4" s="9" t="s">
        <v>407</v>
      </c>
      <c r="G4" s="9" t="s">
        <v>159</v>
      </c>
      <c r="H4" s="9" t="s">
        <v>352</v>
      </c>
      <c r="I4" s="9" t="s">
        <v>408</v>
      </c>
      <c r="J4" s="9" t="s">
        <v>409</v>
      </c>
      <c r="K4" s="9" t="s">
        <v>410</v>
      </c>
      <c r="L4" s="9" t="s">
        <v>411</v>
      </c>
    </row>
    <row r="5" customFormat="false" ht="15" hidden="false" customHeight="false" outlineLevel="0" collapsed="false">
      <c r="A5" s="10" t="s">
        <v>412</v>
      </c>
      <c r="B5" s="10" t="s">
        <v>413</v>
      </c>
      <c r="C5" s="10" t="s">
        <v>183</v>
      </c>
      <c r="D5" s="10" t="s">
        <v>414</v>
      </c>
      <c r="E5" s="10" t="s">
        <v>261</v>
      </c>
      <c r="F5" s="10" t="s">
        <v>83</v>
      </c>
      <c r="G5" s="10" t="s">
        <v>415</v>
      </c>
      <c r="H5" s="10" t="s">
        <v>185</v>
      </c>
      <c r="I5" s="11" t="str">
        <f aca="false">IF(F5="",E5,E5&amp;"-"&amp;F5&amp;G5&amp;"-"&amp;H5)</f>
        <v>08Z07-SFW-01</v>
      </c>
      <c r="J5" s="10" t="s">
        <v>416</v>
      </c>
      <c r="K5" s="10" t="s">
        <v>417</v>
      </c>
      <c r="L5" s="10"/>
    </row>
    <row r="6" customFormat="false" ht="15" hidden="false" customHeight="false" outlineLevel="0" collapsed="false">
      <c r="A6" s="10" t="s">
        <v>418</v>
      </c>
      <c r="B6" s="10" t="s">
        <v>413</v>
      </c>
      <c r="C6" s="10" t="s">
        <v>183</v>
      </c>
      <c r="D6" s="10" t="s">
        <v>414</v>
      </c>
      <c r="E6" s="10" t="s">
        <v>261</v>
      </c>
      <c r="F6" s="10" t="s">
        <v>103</v>
      </c>
      <c r="G6" s="10" t="s">
        <v>419</v>
      </c>
      <c r="H6" s="10" t="s">
        <v>185</v>
      </c>
      <c r="I6" s="11" t="str">
        <f aca="false">IF(F6="",E6,E6&amp;"-"&amp;F6&amp;G6&amp;"-"&amp;H6)</f>
        <v>08Z07-BRP-01</v>
      </c>
      <c r="J6" s="10" t="s">
        <v>416</v>
      </c>
      <c r="K6" s="10" t="s">
        <v>417</v>
      </c>
      <c r="L6" s="10"/>
    </row>
    <row r="7" customFormat="false" ht="15" hidden="false" customHeight="false" outlineLevel="0" collapsed="false">
      <c r="A7" s="10" t="s">
        <v>420</v>
      </c>
      <c r="B7" s="10" t="s">
        <v>413</v>
      </c>
      <c r="C7" s="10" t="s">
        <v>183</v>
      </c>
      <c r="D7" s="10" t="s">
        <v>414</v>
      </c>
      <c r="E7" s="10" t="s">
        <v>261</v>
      </c>
      <c r="F7" s="10" t="s">
        <v>109</v>
      </c>
      <c r="G7" s="10" t="s">
        <v>419</v>
      </c>
      <c r="H7" s="10" t="s">
        <v>185</v>
      </c>
      <c r="I7" s="11" t="str">
        <f aca="false">IF(F7="",E7,E7&amp;"-"&amp;F7&amp;G7&amp;"-"&amp;H7)</f>
        <v>08Z07-DBP-01</v>
      </c>
      <c r="J7" s="10" t="s">
        <v>416</v>
      </c>
      <c r="K7" s="10" t="s">
        <v>417</v>
      </c>
      <c r="L7" s="10"/>
    </row>
    <row r="8" customFormat="false" ht="15" hidden="false" customHeight="false" outlineLevel="0" collapsed="false">
      <c r="A8" s="10" t="s">
        <v>421</v>
      </c>
      <c r="B8" s="10" t="s">
        <v>422</v>
      </c>
      <c r="C8" s="10" t="s">
        <v>183</v>
      </c>
      <c r="D8" s="10" t="s">
        <v>199</v>
      </c>
      <c r="E8" s="10" t="s">
        <v>258</v>
      </c>
      <c r="F8" s="10"/>
      <c r="G8" s="10"/>
      <c r="H8" s="10"/>
      <c r="I8" s="11"/>
      <c r="J8" s="10"/>
      <c r="K8" s="10" t="s">
        <v>423</v>
      </c>
      <c r="L8" s="10"/>
    </row>
    <row r="9" customFormat="false" ht="15" hidden="false" customHeight="false" outlineLevel="0" collapsed="false">
      <c r="A9" s="10" t="s">
        <v>424</v>
      </c>
      <c r="B9" s="10" t="s">
        <v>413</v>
      </c>
      <c r="C9" s="10" t="s">
        <v>183</v>
      </c>
      <c r="D9" s="10" t="s">
        <v>414</v>
      </c>
      <c r="E9" s="10" t="s">
        <v>261</v>
      </c>
      <c r="F9" s="10" t="s">
        <v>115</v>
      </c>
      <c r="G9" s="10" t="s">
        <v>419</v>
      </c>
      <c r="H9" s="10" t="s">
        <v>185</v>
      </c>
      <c r="I9" s="11" t="str">
        <f aca="false">IF(F9="",E9,E9&amp;"-"&amp;F9&amp;G9&amp;"-"&amp;H9)</f>
        <v>08Z07-BKP-01</v>
      </c>
      <c r="J9" s="10" t="s">
        <v>416</v>
      </c>
      <c r="K9" s="10" t="s">
        <v>417</v>
      </c>
      <c r="L9" s="10"/>
    </row>
    <row r="10" customFormat="false" ht="23.85" hidden="false" customHeight="false" outlineLevel="0" collapsed="false">
      <c r="A10" s="10" t="s">
        <v>425</v>
      </c>
      <c r="B10" s="10" t="s">
        <v>413</v>
      </c>
      <c r="C10" s="10" t="s">
        <v>426</v>
      </c>
      <c r="D10" s="10" t="s">
        <v>426</v>
      </c>
      <c r="E10" s="10" t="s">
        <v>17</v>
      </c>
      <c r="F10" s="10" t="s">
        <v>115</v>
      </c>
      <c r="G10" s="10" t="s">
        <v>419</v>
      </c>
      <c r="H10" s="10" t="s">
        <v>185</v>
      </c>
      <c r="I10" s="11" t="str">
        <f aca="false">IF(F10="",E10,E10&amp;"-"&amp;F10&amp;G10&amp;"-"&amp;H10)</f>
        <v>08MGL-BKP-01</v>
      </c>
      <c r="J10" s="10" t="s">
        <v>427</v>
      </c>
      <c r="K10" s="10" t="s">
        <v>428</v>
      </c>
      <c r="L10" s="10"/>
    </row>
    <row r="11" customFormat="false" ht="15" hidden="false" customHeight="false" outlineLevel="0" collapsed="false">
      <c r="A11" s="10" t="s">
        <v>429</v>
      </c>
      <c r="B11" s="10" t="s">
        <v>422</v>
      </c>
      <c r="C11" s="10" t="s">
        <v>179</v>
      </c>
      <c r="D11" s="10" t="s">
        <v>199</v>
      </c>
      <c r="E11" s="10" t="s">
        <v>139</v>
      </c>
      <c r="F11" s="10" t="s">
        <v>78</v>
      </c>
      <c r="G11" s="10" t="s">
        <v>199</v>
      </c>
      <c r="H11" s="10" t="s">
        <v>185</v>
      </c>
      <c r="I11" s="11" t="str">
        <f aca="false">IF(F11="",E11,E11&amp;"-"&amp;F11&amp;G11&amp;"-"&amp;H11)</f>
        <v>08A04-KBA-01</v>
      </c>
      <c r="J11" s="10" t="s">
        <v>430</v>
      </c>
      <c r="K11" s="10" t="s">
        <v>431</v>
      </c>
      <c r="L11" s="10"/>
    </row>
    <row r="12" customFormat="false" ht="15" hidden="false" customHeight="false" outlineLevel="0" collapsed="false">
      <c r="A12" s="10" t="s">
        <v>432</v>
      </c>
      <c r="B12" s="10" t="s">
        <v>422</v>
      </c>
      <c r="C12" s="10" t="s">
        <v>179</v>
      </c>
      <c r="D12" s="10" t="s">
        <v>201</v>
      </c>
      <c r="E12" s="10" t="s">
        <v>233</v>
      </c>
      <c r="F12" s="10" t="s">
        <v>78</v>
      </c>
      <c r="G12" s="10" t="s">
        <v>199</v>
      </c>
      <c r="H12" s="10" t="s">
        <v>185</v>
      </c>
      <c r="I12" s="11" t="str">
        <f aca="false">IF(F12="",E12,E12&amp;"-"&amp;F12&amp;G12&amp;"-"&amp;H12)</f>
        <v>08B04-KBA-01</v>
      </c>
      <c r="J12" s="10" t="s">
        <v>433</v>
      </c>
      <c r="K12" s="10" t="s">
        <v>431</v>
      </c>
      <c r="L12" s="10"/>
    </row>
    <row r="13" customFormat="false" ht="15" hidden="false" customHeight="false" outlineLevel="0" collapsed="false">
      <c r="A13" s="10" t="s">
        <v>434</v>
      </c>
      <c r="B13" s="10" t="s">
        <v>422</v>
      </c>
      <c r="C13" s="10" t="s">
        <v>179</v>
      </c>
      <c r="D13" s="10" t="s">
        <v>203</v>
      </c>
      <c r="E13" s="10" t="s">
        <v>236</v>
      </c>
      <c r="F13" s="10" t="s">
        <v>78</v>
      </c>
      <c r="G13" s="10" t="s">
        <v>199</v>
      </c>
      <c r="H13" s="10" t="s">
        <v>185</v>
      </c>
      <c r="I13" s="11" t="str">
        <f aca="false">IF(F13="",E13,E13&amp;"-"&amp;F13&amp;G13&amp;"-"&amp;H13)</f>
        <v>08C04-KBA-01</v>
      </c>
      <c r="J13" s="10" t="s">
        <v>435</v>
      </c>
      <c r="K13" s="10" t="s">
        <v>431</v>
      </c>
      <c r="L13" s="10"/>
    </row>
    <row r="14" customFormat="false" ht="23.85" hidden="false" customHeight="false" outlineLevel="0" collapsed="false">
      <c r="A14" s="10" t="s">
        <v>436</v>
      </c>
      <c r="B14" s="10" t="s">
        <v>422</v>
      </c>
      <c r="C14" s="10" t="s">
        <v>179</v>
      </c>
      <c r="D14" s="10" t="s">
        <v>437</v>
      </c>
      <c r="E14" s="10" t="s">
        <v>145</v>
      </c>
      <c r="F14" s="10" t="s">
        <v>89</v>
      </c>
      <c r="G14" s="10" t="s">
        <v>415</v>
      </c>
      <c r="H14" s="10" t="s">
        <v>185</v>
      </c>
      <c r="I14" s="11" t="str">
        <f aca="false">IF(F14="",E14,E14&amp;"-"&amp;F14&amp;G14&amp;"-"&amp;H14)</f>
        <v>08X04-LMW-01</v>
      </c>
      <c r="J14" s="10" t="s">
        <v>438</v>
      </c>
      <c r="K14" s="10" t="s">
        <v>439</v>
      </c>
      <c r="L14" s="10"/>
    </row>
    <row r="15" customFormat="false" ht="46.25" hidden="false" customHeight="false" outlineLevel="0" collapsed="false">
      <c r="A15" s="10" t="s">
        <v>440</v>
      </c>
      <c r="B15" s="10" t="s">
        <v>422</v>
      </c>
      <c r="C15" s="10" t="s">
        <v>441</v>
      </c>
      <c r="D15" s="10" t="s">
        <v>437</v>
      </c>
      <c r="E15" s="10" t="s">
        <v>288</v>
      </c>
      <c r="F15" s="10" t="s">
        <v>89</v>
      </c>
      <c r="G15" s="10" t="s">
        <v>415</v>
      </c>
      <c r="H15" s="10" t="s">
        <v>185</v>
      </c>
      <c r="I15" s="11" t="str">
        <f aca="false">IF(F15="",E15,E15&amp;"-"&amp;F15&amp;G15&amp;"-"&amp;H15)</f>
        <v>08XXX-LMW-01</v>
      </c>
      <c r="J15" s="10" t="s">
        <v>438</v>
      </c>
      <c r="K15" s="10" t="s">
        <v>442</v>
      </c>
      <c r="L15" s="10"/>
    </row>
    <row r="16" customFormat="false" ht="15" hidden="false" customHeight="false" outlineLevel="0" collapsed="false">
      <c r="A16" s="10" t="s">
        <v>443</v>
      </c>
      <c r="B16" s="10" t="s">
        <v>413</v>
      </c>
      <c r="C16" s="10" t="s">
        <v>179</v>
      </c>
      <c r="D16" s="10" t="s">
        <v>199</v>
      </c>
      <c r="E16" s="10" t="s">
        <v>139</v>
      </c>
      <c r="F16" s="10" t="s">
        <v>83</v>
      </c>
      <c r="G16" s="10" t="s">
        <v>419</v>
      </c>
      <c r="H16" s="10" t="s">
        <v>185</v>
      </c>
      <c r="I16" s="11" t="str">
        <f aca="false">IF(F16="",E16,E16&amp;"-"&amp;F16&amp;G16&amp;"-"&amp;H16)</f>
        <v>08A04-SFP-01</v>
      </c>
      <c r="J16" s="10"/>
      <c r="K16" s="10" t="s">
        <v>444</v>
      </c>
      <c r="L16" s="10"/>
    </row>
    <row r="17" customFormat="false" ht="15" hidden="false" customHeight="false" outlineLevel="0" collapsed="false">
      <c r="A17" s="10" t="s">
        <v>445</v>
      </c>
      <c r="B17" s="10" t="s">
        <v>413</v>
      </c>
      <c r="C17" s="10" t="s">
        <v>179</v>
      </c>
      <c r="D17" s="10" t="s">
        <v>203</v>
      </c>
      <c r="E17" s="10" t="s">
        <v>236</v>
      </c>
      <c r="F17" s="10" t="s">
        <v>83</v>
      </c>
      <c r="G17" s="10" t="s">
        <v>419</v>
      </c>
      <c r="H17" s="10" t="s">
        <v>185</v>
      </c>
      <c r="I17" s="11" t="str">
        <f aca="false">IF(F17="",E17,E17&amp;"-"&amp;F17&amp;G17&amp;"-"&amp;H17)</f>
        <v>08C04-SFP-01</v>
      </c>
      <c r="J17" s="10"/>
      <c r="K17" s="10" t="s">
        <v>444</v>
      </c>
      <c r="L17" s="10"/>
    </row>
    <row r="18" customFormat="false" ht="35.05" hidden="false" customHeight="false" outlineLevel="0" collapsed="false">
      <c r="A18" s="10" t="s">
        <v>281</v>
      </c>
      <c r="B18" s="10" t="s">
        <v>422</v>
      </c>
      <c r="C18" s="10" t="s">
        <v>426</v>
      </c>
      <c r="D18" s="10" t="s">
        <v>426</v>
      </c>
      <c r="E18" s="10" t="s">
        <v>17</v>
      </c>
      <c r="F18" s="10"/>
      <c r="G18" s="10"/>
      <c r="H18" s="10"/>
      <c r="I18" s="11" t="s">
        <v>17</v>
      </c>
      <c r="J18" s="10" t="s">
        <v>427</v>
      </c>
      <c r="K18" s="10" t="s">
        <v>446</v>
      </c>
      <c r="L18" s="10"/>
    </row>
    <row r="19" customFormat="false" ht="23.85" hidden="false" customHeight="false" outlineLevel="0" collapsed="false">
      <c r="A19" s="10" t="s">
        <v>388</v>
      </c>
      <c r="B19" s="10" t="s">
        <v>422</v>
      </c>
      <c r="C19" s="10" t="s">
        <v>426</v>
      </c>
      <c r="D19" s="10" t="s">
        <v>426</v>
      </c>
      <c r="E19" s="10" t="s">
        <v>17</v>
      </c>
      <c r="F19" s="10" t="s">
        <v>83</v>
      </c>
      <c r="G19" s="10" t="s">
        <v>199</v>
      </c>
      <c r="H19" s="10" t="s">
        <v>185</v>
      </c>
      <c r="I19" s="11" t="str">
        <f aca="false">IF(F19="",E19,E19&amp;"-"&amp;F19&amp;G19&amp;"-"&amp;H19)</f>
        <v>08MGL-SFA-01</v>
      </c>
      <c r="J19" s="10" t="s">
        <v>427</v>
      </c>
      <c r="K19" s="10" t="s">
        <v>428</v>
      </c>
      <c r="L19" s="10"/>
    </row>
    <row r="20" customFormat="false" ht="23.85" hidden="false" customHeight="false" outlineLevel="0" collapsed="false">
      <c r="A20" s="10" t="s">
        <v>447</v>
      </c>
      <c r="B20" s="10" t="s">
        <v>413</v>
      </c>
      <c r="C20" s="10" t="s">
        <v>426</v>
      </c>
      <c r="D20" s="10" t="s">
        <v>426</v>
      </c>
      <c r="E20" s="10" t="s">
        <v>17</v>
      </c>
      <c r="F20" s="10" t="s">
        <v>83</v>
      </c>
      <c r="G20" s="10" t="s">
        <v>419</v>
      </c>
      <c r="H20" s="10" t="s">
        <v>185</v>
      </c>
      <c r="I20" s="11" t="str">
        <f aca="false">IF(F20="",E20,E20&amp;"-"&amp;F20&amp;G20&amp;"-"&amp;H20)</f>
        <v>08MGL-SFP-01</v>
      </c>
      <c r="J20" s="10" t="s">
        <v>427</v>
      </c>
      <c r="K20" s="10" t="s">
        <v>428</v>
      </c>
      <c r="L20" s="10"/>
    </row>
    <row r="21" customFormat="false" ht="23.85" hidden="false" customHeight="false" outlineLevel="0" collapsed="false">
      <c r="A21" s="10" t="s">
        <v>448</v>
      </c>
      <c r="B21" s="10" t="s">
        <v>413</v>
      </c>
      <c r="C21" s="10" t="s">
        <v>426</v>
      </c>
      <c r="D21" s="10" t="s">
        <v>426</v>
      </c>
      <c r="E21" s="10" t="s">
        <v>17</v>
      </c>
      <c r="F21" s="10" t="s">
        <v>83</v>
      </c>
      <c r="G21" s="10" t="s">
        <v>419</v>
      </c>
      <c r="H21" s="10" t="s">
        <v>187</v>
      </c>
      <c r="I21" s="11" t="str">
        <f aca="false">IF(F21="",E21,E21&amp;"-"&amp;F21&amp;G21&amp;"-"&amp;H21)</f>
        <v>08MGL-SFP-02</v>
      </c>
      <c r="J21" s="10" t="s">
        <v>427</v>
      </c>
      <c r="K21" s="10" t="s">
        <v>428</v>
      </c>
      <c r="L21" s="10"/>
    </row>
    <row r="22" customFormat="false" ht="23.85" hidden="false" customHeight="false" outlineLevel="0" collapsed="false">
      <c r="A22" s="10" t="s">
        <v>449</v>
      </c>
      <c r="B22" s="10" t="s">
        <v>413</v>
      </c>
      <c r="C22" s="10" t="s">
        <v>426</v>
      </c>
      <c r="D22" s="10" t="s">
        <v>426</v>
      </c>
      <c r="E22" s="10" t="s">
        <v>17</v>
      </c>
      <c r="F22" s="10" t="s">
        <v>83</v>
      </c>
      <c r="G22" s="10" t="s">
        <v>419</v>
      </c>
      <c r="H22" s="10" t="s">
        <v>189</v>
      </c>
      <c r="I22" s="11" t="str">
        <f aca="false">IF(F22="",E22,E22&amp;"-"&amp;F22&amp;G22&amp;"-"&amp;H22)</f>
        <v>08MGL-SFP-03</v>
      </c>
      <c r="J22" s="10" t="s">
        <v>427</v>
      </c>
      <c r="K22" s="10" t="s">
        <v>428</v>
      </c>
      <c r="L22" s="10"/>
    </row>
    <row r="23" customFormat="false" ht="15" hidden="false" customHeight="false" outlineLevel="0" collapsed="false">
      <c r="A23" s="10" t="s">
        <v>450</v>
      </c>
      <c r="B23" s="10" t="s">
        <v>422</v>
      </c>
      <c r="C23" s="10" t="s">
        <v>183</v>
      </c>
      <c r="D23" s="10" t="s">
        <v>414</v>
      </c>
      <c r="E23" s="10" t="s">
        <v>261</v>
      </c>
      <c r="F23" s="10" t="s">
        <v>83</v>
      </c>
      <c r="G23" s="10" t="s">
        <v>415</v>
      </c>
      <c r="H23" s="10" t="s">
        <v>187</v>
      </c>
      <c r="I23" s="11" t="str">
        <f aca="false">IF(F23="",E23,E23&amp;"-"&amp;F23&amp;G23&amp;"-"&amp;H23)</f>
        <v>08Z07-SFW-02</v>
      </c>
      <c r="J23" s="10" t="s">
        <v>416</v>
      </c>
      <c r="K23" s="10" t="s">
        <v>417</v>
      </c>
      <c r="L23" s="10"/>
    </row>
    <row r="24" customFormat="false" ht="15" hidden="false" customHeight="false" outlineLevel="0" collapsed="false">
      <c r="A24" s="10" t="s">
        <v>198</v>
      </c>
      <c r="B24" s="10" t="s">
        <v>422</v>
      </c>
      <c r="C24" s="10" t="s">
        <v>179</v>
      </c>
      <c r="D24" s="10" t="s">
        <v>199</v>
      </c>
      <c r="E24" s="10" t="s">
        <v>139</v>
      </c>
      <c r="F24" s="10"/>
      <c r="G24" s="10"/>
      <c r="H24" s="10"/>
      <c r="I24" s="11" t="s">
        <v>139</v>
      </c>
      <c r="J24" s="10" t="s">
        <v>451</v>
      </c>
      <c r="K24" s="10" t="s">
        <v>452</v>
      </c>
      <c r="L24" s="10"/>
    </row>
    <row r="25" customFormat="false" ht="15" hidden="false" customHeight="false" outlineLevel="0" collapsed="false">
      <c r="A25" s="10" t="s">
        <v>453</v>
      </c>
      <c r="B25" s="10" t="s">
        <v>422</v>
      </c>
      <c r="C25" s="10" t="s">
        <v>179</v>
      </c>
      <c r="D25" s="10" t="s">
        <v>199</v>
      </c>
      <c r="E25" s="10" t="s">
        <v>139</v>
      </c>
      <c r="F25" s="10" t="s">
        <v>83</v>
      </c>
      <c r="G25" s="10" t="s">
        <v>199</v>
      </c>
      <c r="H25" s="10" t="s">
        <v>185</v>
      </c>
      <c r="I25" s="11" t="str">
        <f aca="false">IF(F25="",E25,E25&amp;"-"&amp;F25&amp;G25&amp;"-"&amp;H25)</f>
        <v>08A04-SFA-01</v>
      </c>
      <c r="J25" s="10" t="s">
        <v>454</v>
      </c>
      <c r="K25" s="10" t="s">
        <v>455</v>
      </c>
      <c r="L25" s="10"/>
    </row>
    <row r="26" customFormat="false" ht="15" hidden="false" customHeight="false" outlineLevel="0" collapsed="false">
      <c r="A26" s="10" t="s">
        <v>456</v>
      </c>
      <c r="B26" s="10" t="s">
        <v>422</v>
      </c>
      <c r="C26" s="10" t="s">
        <v>179</v>
      </c>
      <c r="D26" s="10" t="s">
        <v>199</v>
      </c>
      <c r="E26" s="10" t="s">
        <v>139</v>
      </c>
      <c r="F26" s="10" t="s">
        <v>83</v>
      </c>
      <c r="G26" s="10" t="s">
        <v>199</v>
      </c>
      <c r="H26" s="10" t="s">
        <v>187</v>
      </c>
      <c r="I26" s="11" t="str">
        <f aca="false">IF(F26="",E26,E26&amp;"-"&amp;F26&amp;G26&amp;"-"&amp;H26)</f>
        <v>08A04-SFA-02</v>
      </c>
      <c r="J26" s="10" t="s">
        <v>454</v>
      </c>
      <c r="K26" s="10" t="s">
        <v>455</v>
      </c>
      <c r="L26" s="10"/>
    </row>
    <row r="27" customFormat="false" ht="15" hidden="false" customHeight="false" outlineLevel="0" collapsed="false">
      <c r="A27" s="10" t="s">
        <v>457</v>
      </c>
      <c r="B27" s="10" t="s">
        <v>422</v>
      </c>
      <c r="C27" s="10" t="s">
        <v>179</v>
      </c>
      <c r="D27" s="10" t="s">
        <v>199</v>
      </c>
      <c r="E27" s="10" t="s">
        <v>139</v>
      </c>
      <c r="F27" s="10" t="s">
        <v>83</v>
      </c>
      <c r="G27" s="10" t="s">
        <v>199</v>
      </c>
      <c r="H27" s="10" t="s">
        <v>189</v>
      </c>
      <c r="I27" s="11" t="str">
        <f aca="false">IF(F27="",E27,E27&amp;"-"&amp;F27&amp;G27&amp;"-"&amp;H27)</f>
        <v>08A04-SFA-03</v>
      </c>
      <c r="J27" s="10" t="s">
        <v>454</v>
      </c>
      <c r="K27" s="10" t="s">
        <v>455</v>
      </c>
      <c r="L27" s="10"/>
    </row>
    <row r="28" customFormat="false" ht="15" hidden="false" customHeight="false" outlineLevel="0" collapsed="false">
      <c r="A28" s="10" t="s">
        <v>458</v>
      </c>
      <c r="B28" s="10" t="s">
        <v>422</v>
      </c>
      <c r="C28" s="10" t="s">
        <v>179</v>
      </c>
      <c r="D28" s="10" t="s">
        <v>199</v>
      </c>
      <c r="E28" s="10" t="s">
        <v>139</v>
      </c>
      <c r="F28" s="10" t="s">
        <v>83</v>
      </c>
      <c r="G28" s="10" t="s">
        <v>199</v>
      </c>
      <c r="H28" s="10" t="s">
        <v>179</v>
      </c>
      <c r="I28" s="11" t="str">
        <f aca="false">IF(F28="",E28,E28&amp;"-"&amp;F28&amp;G28&amp;"-"&amp;H28)</f>
        <v>08A04-SFA-04</v>
      </c>
      <c r="J28" s="10" t="s">
        <v>454</v>
      </c>
      <c r="K28" s="10" t="s">
        <v>455</v>
      </c>
      <c r="L28" s="10"/>
    </row>
    <row r="29" customFormat="false" ht="15" hidden="false" customHeight="false" outlineLevel="0" collapsed="false">
      <c r="A29" s="10" t="s">
        <v>459</v>
      </c>
      <c r="B29" s="10" t="s">
        <v>413</v>
      </c>
      <c r="C29" s="10" t="s">
        <v>179</v>
      </c>
      <c r="D29" s="10" t="s">
        <v>199</v>
      </c>
      <c r="E29" s="10" t="s">
        <v>139</v>
      </c>
      <c r="F29" s="10" t="s">
        <v>83</v>
      </c>
      <c r="G29" s="10" t="s">
        <v>419</v>
      </c>
      <c r="H29" s="10" t="s">
        <v>187</v>
      </c>
      <c r="I29" s="11" t="str">
        <f aca="false">IF(F29="",E29,E29&amp;"-"&amp;F29&amp;G29&amp;"-"&amp;H29)</f>
        <v>08A04-SFP-02</v>
      </c>
      <c r="J29" s="10" t="s">
        <v>430</v>
      </c>
      <c r="K29" s="10"/>
      <c r="L29" s="10"/>
    </row>
    <row r="30" customFormat="false" ht="15" hidden="false" customHeight="false" outlineLevel="0" collapsed="false">
      <c r="A30" s="10" t="s">
        <v>460</v>
      </c>
      <c r="B30" s="10" t="s">
        <v>413</v>
      </c>
      <c r="C30" s="10" t="s">
        <v>179</v>
      </c>
      <c r="D30" s="10" t="s">
        <v>199</v>
      </c>
      <c r="E30" s="10" t="s">
        <v>139</v>
      </c>
      <c r="F30" s="10" t="s">
        <v>83</v>
      </c>
      <c r="G30" s="10" t="s">
        <v>419</v>
      </c>
      <c r="H30" s="10" t="s">
        <v>189</v>
      </c>
      <c r="I30" s="11" t="str">
        <f aca="false">IF(F30="",E30,E30&amp;"-"&amp;F30&amp;G30&amp;"-"&amp;H30)</f>
        <v>08A04-SFP-03</v>
      </c>
      <c r="J30" s="10" t="s">
        <v>430</v>
      </c>
      <c r="K30" s="10"/>
      <c r="L30" s="10"/>
    </row>
    <row r="31" customFormat="false" ht="15" hidden="false" customHeight="false" outlineLevel="0" collapsed="false">
      <c r="A31" s="10" t="s">
        <v>399</v>
      </c>
      <c r="B31" s="10" t="s">
        <v>422</v>
      </c>
      <c r="C31" s="10" t="s">
        <v>179</v>
      </c>
      <c r="D31" s="10" t="s">
        <v>199</v>
      </c>
      <c r="E31" s="10" t="s">
        <v>139</v>
      </c>
      <c r="F31" s="10" t="s">
        <v>78</v>
      </c>
      <c r="G31" s="10" t="s">
        <v>199</v>
      </c>
      <c r="H31" s="10" t="s">
        <v>187</v>
      </c>
      <c r="I31" s="11" t="str">
        <f aca="false">IF(F31="",E31,E31&amp;"-"&amp;F31&amp;G31&amp;"-"&amp;H31)</f>
        <v>08A04-KBA-02</v>
      </c>
      <c r="J31" s="10" t="s">
        <v>430</v>
      </c>
      <c r="K31" s="10" t="s">
        <v>431</v>
      </c>
      <c r="L31" s="10"/>
    </row>
    <row r="32" customFormat="false" ht="15" hidden="false" customHeight="false" outlineLevel="0" collapsed="false">
      <c r="A32" s="10" t="s">
        <v>461</v>
      </c>
      <c r="B32" s="10" t="s">
        <v>422</v>
      </c>
      <c r="C32" s="10" t="s">
        <v>179</v>
      </c>
      <c r="D32" s="10" t="s">
        <v>199</v>
      </c>
      <c r="E32" s="10" t="s">
        <v>139</v>
      </c>
      <c r="F32" s="10" t="s">
        <v>78</v>
      </c>
      <c r="G32" s="10" t="s">
        <v>199</v>
      </c>
      <c r="H32" s="10" t="s">
        <v>189</v>
      </c>
      <c r="I32" s="11" t="str">
        <f aca="false">IF(F32="",E32,E32&amp;"-"&amp;F32&amp;G32&amp;"-"&amp;H32)</f>
        <v>08A04-KBA-03</v>
      </c>
      <c r="J32" s="10" t="s">
        <v>430</v>
      </c>
      <c r="K32" s="10" t="s">
        <v>431</v>
      </c>
      <c r="L32" s="10"/>
    </row>
    <row r="33" customFormat="false" ht="15" hidden="false" customHeight="false" outlineLevel="0" collapsed="false">
      <c r="A33" s="10" t="s">
        <v>462</v>
      </c>
      <c r="B33" s="10" t="s">
        <v>422</v>
      </c>
      <c r="C33" s="10" t="s">
        <v>179</v>
      </c>
      <c r="D33" s="10" t="s">
        <v>199</v>
      </c>
      <c r="E33" s="10" t="s">
        <v>139</v>
      </c>
      <c r="F33" s="10" t="s">
        <v>78</v>
      </c>
      <c r="G33" s="10" t="s">
        <v>199</v>
      </c>
      <c r="H33" s="10" t="s">
        <v>179</v>
      </c>
      <c r="I33" s="11" t="str">
        <f aca="false">IF(F33="",E33,E33&amp;"-"&amp;F33&amp;G33&amp;"-"&amp;H33)</f>
        <v>08A04-KBA-04</v>
      </c>
      <c r="J33" s="10" t="s">
        <v>430</v>
      </c>
      <c r="K33" s="10" t="s">
        <v>431</v>
      </c>
      <c r="L33" s="10"/>
    </row>
    <row r="34" customFormat="false" ht="15" hidden="false" customHeight="false" outlineLevel="0" collapsed="false">
      <c r="A34" s="10" t="s">
        <v>463</v>
      </c>
      <c r="B34" s="10" t="s">
        <v>422</v>
      </c>
      <c r="C34" s="10" t="s">
        <v>179</v>
      </c>
      <c r="D34" s="10" t="s">
        <v>199</v>
      </c>
      <c r="E34" s="10" t="s">
        <v>139</v>
      </c>
      <c r="F34" s="10" t="s">
        <v>78</v>
      </c>
      <c r="G34" s="10" t="s">
        <v>199</v>
      </c>
      <c r="H34" s="10" t="s">
        <v>192</v>
      </c>
      <c r="I34" s="11" t="str">
        <f aca="false">IF(F34="",E34,E34&amp;"-"&amp;F34&amp;G34&amp;"-"&amp;H34)</f>
        <v>08A04-KBA-05</v>
      </c>
      <c r="J34" s="10" t="s">
        <v>430</v>
      </c>
      <c r="K34" s="10" t="s">
        <v>431</v>
      </c>
      <c r="L34" s="10"/>
    </row>
    <row r="35" customFormat="false" ht="15" hidden="false" customHeight="false" outlineLevel="0" collapsed="false">
      <c r="A35" s="10" t="s">
        <v>464</v>
      </c>
      <c r="B35" s="10" t="s">
        <v>422</v>
      </c>
      <c r="C35" s="10" t="s">
        <v>179</v>
      </c>
      <c r="D35" s="10" t="s">
        <v>199</v>
      </c>
      <c r="E35" s="10" t="s">
        <v>139</v>
      </c>
      <c r="F35" s="10" t="s">
        <v>78</v>
      </c>
      <c r="G35" s="10" t="s">
        <v>199</v>
      </c>
      <c r="H35" s="10" t="s">
        <v>181</v>
      </c>
      <c r="I35" s="11" t="str">
        <f aca="false">IF(F35="",E35,E35&amp;"-"&amp;F35&amp;G35&amp;"-"&amp;H35)</f>
        <v>08A04-KBA-06</v>
      </c>
      <c r="J35" s="10" t="s">
        <v>430</v>
      </c>
      <c r="K35" s="10" t="s">
        <v>431</v>
      </c>
      <c r="L35" s="10"/>
    </row>
    <row r="36" customFormat="false" ht="15" hidden="false" customHeight="false" outlineLevel="0" collapsed="false">
      <c r="A36" s="10" t="s">
        <v>465</v>
      </c>
      <c r="B36" s="10" t="s">
        <v>422</v>
      </c>
      <c r="C36" s="10" t="s">
        <v>179</v>
      </c>
      <c r="D36" s="10" t="s">
        <v>199</v>
      </c>
      <c r="E36" s="10" t="s">
        <v>139</v>
      </c>
      <c r="F36" s="10" t="s">
        <v>78</v>
      </c>
      <c r="G36" s="10" t="s">
        <v>199</v>
      </c>
      <c r="H36" s="10" t="s">
        <v>183</v>
      </c>
      <c r="I36" s="11" t="str">
        <f aca="false">IF(F36="",E36,E36&amp;"-"&amp;F36&amp;G36&amp;"-"&amp;H36)</f>
        <v>08A04-KBA-07</v>
      </c>
      <c r="J36" s="10" t="s">
        <v>430</v>
      </c>
      <c r="K36" s="10" t="s">
        <v>431</v>
      </c>
      <c r="L36" s="10"/>
    </row>
    <row r="37" customFormat="false" ht="15" hidden="false" customHeight="false" outlineLevel="0" collapsed="false">
      <c r="A37" s="10" t="s">
        <v>466</v>
      </c>
      <c r="B37" s="10" t="s">
        <v>422</v>
      </c>
      <c r="C37" s="10" t="s">
        <v>179</v>
      </c>
      <c r="D37" s="10" t="s">
        <v>199</v>
      </c>
      <c r="E37" s="10" t="s">
        <v>139</v>
      </c>
      <c r="F37" s="10" t="s">
        <v>83</v>
      </c>
      <c r="G37" s="10" t="s">
        <v>199</v>
      </c>
      <c r="H37" s="10" t="s">
        <v>378</v>
      </c>
      <c r="I37" s="11" t="str">
        <f aca="false">IF(F37="",E37,E37&amp;"-"&amp;F37&amp;G37&amp;"-"&amp;H37)</f>
        <v>08A04-SFA-1X</v>
      </c>
      <c r="J37" s="10" t="s">
        <v>430</v>
      </c>
      <c r="K37" s="10"/>
      <c r="L37" s="10"/>
    </row>
    <row r="38" customFormat="false" ht="15" hidden="false" customHeight="false" outlineLevel="0" collapsed="false">
      <c r="A38" s="10" t="s">
        <v>467</v>
      </c>
      <c r="B38" s="10" t="s">
        <v>422</v>
      </c>
      <c r="C38" s="10" t="s">
        <v>179</v>
      </c>
      <c r="D38" s="10" t="s">
        <v>199</v>
      </c>
      <c r="E38" s="10" t="s">
        <v>139</v>
      </c>
      <c r="F38" s="10" t="s">
        <v>83</v>
      </c>
      <c r="G38" s="10" t="s">
        <v>199</v>
      </c>
      <c r="H38" s="10" t="s">
        <v>468</v>
      </c>
      <c r="I38" s="11" t="str">
        <f aca="false">IF(F38="",E38,E38&amp;"-"&amp;F38&amp;G38&amp;"-"&amp;H38)</f>
        <v>08A04-SFA-2B</v>
      </c>
      <c r="J38" s="10" t="s">
        <v>430</v>
      </c>
      <c r="K38" s="10"/>
      <c r="L38" s="10"/>
    </row>
    <row r="39" customFormat="false" ht="15" hidden="false" customHeight="false" outlineLevel="0" collapsed="false">
      <c r="A39" s="10" t="s">
        <v>469</v>
      </c>
      <c r="B39" s="10" t="s">
        <v>422</v>
      </c>
      <c r="C39" s="10" t="s">
        <v>179</v>
      </c>
      <c r="D39" s="10" t="s">
        <v>199</v>
      </c>
      <c r="E39" s="10" t="s">
        <v>139</v>
      </c>
      <c r="F39" s="10" t="s">
        <v>83</v>
      </c>
      <c r="G39" s="10" t="s">
        <v>199</v>
      </c>
      <c r="H39" s="10" t="s">
        <v>470</v>
      </c>
      <c r="I39" s="11" t="str">
        <f aca="false">IF(F39="",E39,E39&amp;"-"&amp;F39&amp;G39&amp;"-"&amp;H39)</f>
        <v>08A04-SFA-2T</v>
      </c>
      <c r="J39" s="10" t="s">
        <v>430</v>
      </c>
      <c r="K39" s="10"/>
      <c r="L39" s="10"/>
    </row>
    <row r="40" customFormat="false" ht="15" hidden="false" customHeight="false" outlineLevel="0" collapsed="false">
      <c r="A40" s="10" t="s">
        <v>471</v>
      </c>
      <c r="B40" s="10" t="s">
        <v>413</v>
      </c>
      <c r="C40" s="10" t="s">
        <v>179</v>
      </c>
      <c r="D40" s="10" t="s">
        <v>437</v>
      </c>
      <c r="E40" s="10" t="s">
        <v>145</v>
      </c>
      <c r="F40" s="10" t="s">
        <v>83</v>
      </c>
      <c r="G40" s="10" t="s">
        <v>419</v>
      </c>
      <c r="H40" s="10" t="s">
        <v>185</v>
      </c>
      <c r="I40" s="11" t="str">
        <f aca="false">IF(F40="",E40,E40&amp;"-"&amp;F40&amp;G40&amp;"-"&amp;H40)</f>
        <v>08X04-SFP-01</v>
      </c>
      <c r="J40" s="10" t="s">
        <v>472</v>
      </c>
      <c r="K40" s="10"/>
      <c r="L40" s="10"/>
    </row>
    <row r="41" customFormat="false" ht="15" hidden="false" customHeight="false" outlineLevel="0" collapsed="false">
      <c r="A41" s="10" t="s">
        <v>473</v>
      </c>
      <c r="B41" s="10" t="s">
        <v>422</v>
      </c>
      <c r="C41" s="10" t="s">
        <v>179</v>
      </c>
      <c r="D41" s="10" t="s">
        <v>199</v>
      </c>
      <c r="E41" s="10" t="s">
        <v>139</v>
      </c>
      <c r="F41" s="10" t="s">
        <v>83</v>
      </c>
      <c r="G41" s="10" t="s">
        <v>199</v>
      </c>
      <c r="H41" s="10" t="s">
        <v>474</v>
      </c>
      <c r="I41" s="11" t="str">
        <f aca="false">IF(F41="",E41,E41&amp;"-"&amp;F41&amp;G41&amp;"-"&amp;H41)</f>
        <v>08A04-SFA-3B</v>
      </c>
      <c r="J41" s="10" t="s">
        <v>430</v>
      </c>
      <c r="K41" s="10"/>
      <c r="L41" s="10"/>
    </row>
    <row r="42" customFormat="false" ht="15" hidden="false" customHeight="false" outlineLevel="0" collapsed="false">
      <c r="A42" s="10" t="s">
        <v>475</v>
      </c>
      <c r="B42" s="10" t="s">
        <v>422</v>
      </c>
      <c r="C42" s="10" t="s">
        <v>179</v>
      </c>
      <c r="D42" s="10" t="s">
        <v>199</v>
      </c>
      <c r="E42" s="10" t="s">
        <v>139</v>
      </c>
      <c r="F42" s="10" t="s">
        <v>83</v>
      </c>
      <c r="G42" s="10" t="s">
        <v>199</v>
      </c>
      <c r="H42" s="10" t="s">
        <v>476</v>
      </c>
      <c r="I42" s="11" t="str">
        <f aca="false">IF(F42="",E42,E42&amp;"-"&amp;F42&amp;G42&amp;"-"&amp;H42)</f>
        <v>08A04-SFA-3T</v>
      </c>
      <c r="J42" s="10" t="s">
        <v>430</v>
      </c>
      <c r="K42" s="10"/>
      <c r="L42" s="10"/>
    </row>
    <row r="43" customFormat="false" ht="15" hidden="false" customHeight="false" outlineLevel="0" collapsed="false">
      <c r="A43" s="10" t="s">
        <v>477</v>
      </c>
      <c r="B43" s="10" t="s">
        <v>422</v>
      </c>
      <c r="C43" s="10" t="s">
        <v>179</v>
      </c>
      <c r="D43" s="10" t="s">
        <v>199</v>
      </c>
      <c r="E43" s="10" t="s">
        <v>139</v>
      </c>
      <c r="F43" s="10" t="s">
        <v>83</v>
      </c>
      <c r="G43" s="10" t="s">
        <v>199</v>
      </c>
      <c r="H43" s="10" t="s">
        <v>478</v>
      </c>
      <c r="I43" s="11" t="str">
        <f aca="false">IF(F43="",E43,E43&amp;"-"&amp;F43&amp;G43&amp;"-"&amp;H43)</f>
        <v>08A04-SFA-4X</v>
      </c>
      <c r="J43" s="10" t="s">
        <v>430</v>
      </c>
      <c r="K43" s="10"/>
      <c r="L43" s="10"/>
    </row>
    <row r="44" customFormat="false" ht="15" hidden="false" customHeight="false" outlineLevel="0" collapsed="false">
      <c r="A44" s="10" t="s">
        <v>479</v>
      </c>
      <c r="B44" s="10" t="s">
        <v>422</v>
      </c>
      <c r="C44" s="10" t="s">
        <v>179</v>
      </c>
      <c r="D44" s="10" t="s">
        <v>199</v>
      </c>
      <c r="E44" s="10" t="s">
        <v>139</v>
      </c>
      <c r="F44" s="10" t="s">
        <v>83</v>
      </c>
      <c r="G44" s="10" t="s">
        <v>199</v>
      </c>
      <c r="H44" s="10" t="s">
        <v>480</v>
      </c>
      <c r="I44" s="11" t="str">
        <f aca="false">IF(F44="",E44,E44&amp;"-"&amp;F44&amp;G44&amp;"-"&amp;H44)</f>
        <v>08A04-SFA-5B</v>
      </c>
      <c r="J44" s="10" t="s">
        <v>430</v>
      </c>
      <c r="K44" s="10"/>
      <c r="L44" s="10"/>
    </row>
    <row r="45" customFormat="false" ht="15" hidden="false" customHeight="false" outlineLevel="0" collapsed="false">
      <c r="A45" s="10" t="s">
        <v>481</v>
      </c>
      <c r="B45" s="10" t="s">
        <v>422</v>
      </c>
      <c r="C45" s="10" t="s">
        <v>179</v>
      </c>
      <c r="D45" s="10" t="s">
        <v>199</v>
      </c>
      <c r="E45" s="10" t="s">
        <v>139</v>
      </c>
      <c r="F45" s="10" t="s">
        <v>83</v>
      </c>
      <c r="G45" s="10" t="s">
        <v>199</v>
      </c>
      <c r="H45" s="10" t="s">
        <v>482</v>
      </c>
      <c r="I45" s="11" t="str">
        <f aca="false">IF(F45="",E45,E45&amp;"-"&amp;F45&amp;G45&amp;"-"&amp;H45)</f>
        <v>08A04-SFA-5T</v>
      </c>
      <c r="J45" s="10" t="s">
        <v>430</v>
      </c>
      <c r="K45" s="10"/>
      <c r="L45" s="10"/>
    </row>
    <row r="46" customFormat="false" ht="15" hidden="false" customHeight="false" outlineLevel="0" collapsed="false">
      <c r="A46" s="10" t="s">
        <v>483</v>
      </c>
      <c r="B46" s="10" t="s">
        <v>413</v>
      </c>
      <c r="C46" s="10" t="s">
        <v>179</v>
      </c>
      <c r="D46" s="10" t="s">
        <v>199</v>
      </c>
      <c r="E46" s="10" t="s">
        <v>139</v>
      </c>
      <c r="F46" s="10"/>
      <c r="G46" s="10"/>
      <c r="H46" s="10"/>
      <c r="I46" s="11"/>
      <c r="J46" s="10" t="s">
        <v>430</v>
      </c>
      <c r="K46" s="10" t="s">
        <v>484</v>
      </c>
      <c r="L46" s="10"/>
    </row>
    <row r="47" customFormat="false" ht="15" hidden="false" customHeight="false" outlineLevel="0" collapsed="false">
      <c r="A47" s="10" t="s">
        <v>485</v>
      </c>
      <c r="B47" s="10" t="s">
        <v>413</v>
      </c>
      <c r="C47" s="10" t="s">
        <v>179</v>
      </c>
      <c r="D47" s="10" t="s">
        <v>199</v>
      </c>
      <c r="E47" s="10" t="s">
        <v>139</v>
      </c>
      <c r="F47" s="10" t="s">
        <v>83</v>
      </c>
      <c r="G47" s="10" t="s">
        <v>419</v>
      </c>
      <c r="H47" s="10" t="s">
        <v>179</v>
      </c>
      <c r="I47" s="11" t="str">
        <f aca="false">IF(F47="",E47,E47&amp;"-"&amp;F47&amp;G47&amp;"-"&amp;H47)</f>
        <v>08A04-SFP-04</v>
      </c>
      <c r="J47" s="10" t="s">
        <v>472</v>
      </c>
      <c r="K47" s="10" t="s">
        <v>455</v>
      </c>
      <c r="L47" s="10"/>
    </row>
    <row r="48" customFormat="false" ht="15" hidden="false" customHeight="false" outlineLevel="0" collapsed="false">
      <c r="A48" s="10" t="s">
        <v>231</v>
      </c>
      <c r="B48" s="10" t="s">
        <v>422</v>
      </c>
      <c r="C48" s="10" t="s">
        <v>179</v>
      </c>
      <c r="D48" s="10" t="s">
        <v>199</v>
      </c>
      <c r="E48" s="10" t="s">
        <v>139</v>
      </c>
      <c r="F48" s="10"/>
      <c r="G48" s="10"/>
      <c r="H48" s="10"/>
      <c r="I48" s="11" t="s">
        <v>139</v>
      </c>
      <c r="J48" s="10" t="s">
        <v>451</v>
      </c>
      <c r="K48" s="10" t="s">
        <v>452</v>
      </c>
      <c r="L48" s="10"/>
    </row>
    <row r="49" customFormat="false" ht="15" hidden="false" customHeight="false" outlineLevel="0" collapsed="false">
      <c r="A49" s="10" t="s">
        <v>251</v>
      </c>
      <c r="B49" s="10" t="s">
        <v>422</v>
      </c>
      <c r="C49" s="10" t="s">
        <v>181</v>
      </c>
      <c r="D49" s="10" t="s">
        <v>199</v>
      </c>
      <c r="E49" s="10" t="s">
        <v>248</v>
      </c>
      <c r="F49" s="10"/>
      <c r="G49" s="10"/>
      <c r="H49" s="10"/>
      <c r="I49" s="11" t="s">
        <v>248</v>
      </c>
      <c r="J49" s="10" t="s">
        <v>486</v>
      </c>
      <c r="K49" s="10" t="s">
        <v>452</v>
      </c>
      <c r="L49" s="10"/>
    </row>
    <row r="50" customFormat="false" ht="15" hidden="false" customHeight="false" outlineLevel="0" collapsed="false">
      <c r="A50" s="10" t="s">
        <v>487</v>
      </c>
      <c r="B50" s="10" t="s">
        <v>413</v>
      </c>
      <c r="C50" s="10" t="s">
        <v>181</v>
      </c>
      <c r="D50" s="10" t="s">
        <v>199</v>
      </c>
      <c r="E50" s="10" t="s">
        <v>248</v>
      </c>
      <c r="F50" s="10" t="s">
        <v>83</v>
      </c>
      <c r="G50" s="10" t="s">
        <v>415</v>
      </c>
      <c r="H50" s="10" t="s">
        <v>185</v>
      </c>
      <c r="I50" s="11" t="str">
        <f aca="false">IF(F50="",E50,E50&amp;"-"&amp;F50&amp;G50&amp;"-"&amp;H50)</f>
        <v>08A06-SFW-01</v>
      </c>
      <c r="J50" s="10" t="s">
        <v>486</v>
      </c>
      <c r="K50" s="10"/>
      <c r="L50" s="10"/>
    </row>
    <row r="51" customFormat="false" ht="15" hidden="false" customHeight="false" outlineLevel="0" collapsed="false">
      <c r="A51" s="10" t="s">
        <v>488</v>
      </c>
      <c r="B51" s="10" t="s">
        <v>422</v>
      </c>
      <c r="C51" s="10" t="s">
        <v>181</v>
      </c>
      <c r="D51" s="10" t="s">
        <v>199</v>
      </c>
      <c r="E51" s="10" t="s">
        <v>248</v>
      </c>
      <c r="F51" s="10" t="s">
        <v>83</v>
      </c>
      <c r="G51" s="10" t="s">
        <v>199</v>
      </c>
      <c r="H51" s="10" t="s">
        <v>361</v>
      </c>
      <c r="I51" s="11" t="str">
        <f aca="false">IF(F51="",E51,E51&amp;"-"&amp;F51&amp;G51&amp;"-"&amp;H51)</f>
        <v>08A06-SFA-1B</v>
      </c>
      <c r="J51" s="10" t="s">
        <v>486</v>
      </c>
      <c r="K51" s="10"/>
      <c r="L51" s="10"/>
    </row>
    <row r="52" customFormat="false" ht="15" hidden="false" customHeight="false" outlineLevel="0" collapsed="false">
      <c r="A52" s="10" t="s">
        <v>489</v>
      </c>
      <c r="B52" s="10" t="s">
        <v>422</v>
      </c>
      <c r="C52" s="10" t="s">
        <v>181</v>
      </c>
      <c r="D52" s="10" t="s">
        <v>199</v>
      </c>
      <c r="E52" s="10" t="s">
        <v>248</v>
      </c>
      <c r="F52" s="10" t="s">
        <v>83</v>
      </c>
      <c r="G52" s="10" t="s">
        <v>199</v>
      </c>
      <c r="H52" s="10" t="s">
        <v>356</v>
      </c>
      <c r="I52" s="11" t="str">
        <f aca="false">IF(F52="",E52,E52&amp;"-"&amp;F52&amp;G52&amp;"-"&amp;H52)</f>
        <v>08A06-SFA-1T</v>
      </c>
      <c r="J52" s="10" t="s">
        <v>486</v>
      </c>
      <c r="K52" s="10"/>
      <c r="L52" s="10"/>
    </row>
    <row r="53" customFormat="false" ht="15" hidden="false" customHeight="false" outlineLevel="0" collapsed="false">
      <c r="A53" s="10" t="s">
        <v>490</v>
      </c>
      <c r="B53" s="10" t="s">
        <v>422</v>
      </c>
      <c r="C53" s="10" t="s">
        <v>181</v>
      </c>
      <c r="D53" s="10" t="s">
        <v>199</v>
      </c>
      <c r="E53" s="10" t="s">
        <v>248</v>
      </c>
      <c r="F53" s="10" t="s">
        <v>83</v>
      </c>
      <c r="G53" s="10" t="s">
        <v>199</v>
      </c>
      <c r="H53" s="10" t="s">
        <v>470</v>
      </c>
      <c r="I53" s="11" t="str">
        <f aca="false">IF(F53="",E53,E53&amp;"-"&amp;F53&amp;G53&amp;"-"&amp;H53)</f>
        <v>08A06-SFA-2T</v>
      </c>
      <c r="J53" s="10" t="s">
        <v>486</v>
      </c>
      <c r="K53" s="10"/>
      <c r="L53" s="10"/>
    </row>
    <row r="54" customFormat="false" ht="15" hidden="false" customHeight="false" outlineLevel="0" collapsed="false">
      <c r="A54" s="10" t="s">
        <v>491</v>
      </c>
      <c r="B54" s="10" t="s">
        <v>422</v>
      </c>
      <c r="C54" s="10" t="s">
        <v>181</v>
      </c>
      <c r="D54" s="10" t="s">
        <v>437</v>
      </c>
      <c r="E54" s="10" t="s">
        <v>492</v>
      </c>
      <c r="F54" s="10" t="s">
        <v>83</v>
      </c>
      <c r="G54" s="10" t="s">
        <v>415</v>
      </c>
      <c r="H54" s="10" t="s">
        <v>185</v>
      </c>
      <c r="I54" s="11" t="str">
        <f aca="false">IF(F54="",E54,E54&amp;"-"&amp;F54&amp;G54&amp;"-"&amp;H54)</f>
        <v>08X06-SFW-01</v>
      </c>
      <c r="J54" s="10" t="s">
        <v>493</v>
      </c>
      <c r="K54" s="10" t="s">
        <v>455</v>
      </c>
      <c r="L54" s="10"/>
    </row>
    <row r="55" customFormat="false" ht="15" hidden="false" customHeight="false" outlineLevel="0" collapsed="false">
      <c r="A55" s="10" t="s">
        <v>494</v>
      </c>
      <c r="B55" s="10" t="s">
        <v>422</v>
      </c>
      <c r="C55" s="10" t="s">
        <v>181</v>
      </c>
      <c r="D55" s="10" t="s">
        <v>199</v>
      </c>
      <c r="E55" s="10" t="s">
        <v>248</v>
      </c>
      <c r="F55" s="10" t="s">
        <v>83</v>
      </c>
      <c r="G55" s="10" t="s">
        <v>199</v>
      </c>
      <c r="H55" s="10" t="s">
        <v>476</v>
      </c>
      <c r="I55" s="11" t="str">
        <f aca="false">IF(F55="",E55,E55&amp;"-"&amp;F55&amp;G55&amp;"-"&amp;H55)</f>
        <v>08A06-SFA-3T</v>
      </c>
      <c r="J55" s="10" t="s">
        <v>486</v>
      </c>
      <c r="K55" s="10"/>
      <c r="L55" s="10"/>
    </row>
    <row r="56" customFormat="false" ht="15" hidden="false" customHeight="false" outlineLevel="0" collapsed="false">
      <c r="A56" s="10" t="s">
        <v>495</v>
      </c>
      <c r="B56" s="10" t="s">
        <v>422</v>
      </c>
      <c r="C56" s="10" t="s">
        <v>181</v>
      </c>
      <c r="D56" s="10" t="s">
        <v>199</v>
      </c>
      <c r="E56" s="10" t="s">
        <v>248</v>
      </c>
      <c r="F56" s="10" t="s">
        <v>83</v>
      </c>
      <c r="G56" s="10" t="s">
        <v>199</v>
      </c>
      <c r="H56" s="10" t="s">
        <v>496</v>
      </c>
      <c r="I56" s="11" t="str">
        <f aca="false">IF(F56="",E56,E56&amp;"-"&amp;F56&amp;G56&amp;"-"&amp;H56)</f>
        <v>08A06-SFA-4B</v>
      </c>
      <c r="J56" s="10" t="s">
        <v>486</v>
      </c>
      <c r="K56" s="10"/>
      <c r="L56" s="10"/>
    </row>
    <row r="57" customFormat="false" ht="15" hidden="false" customHeight="false" outlineLevel="0" collapsed="false">
      <c r="A57" s="10" t="s">
        <v>497</v>
      </c>
      <c r="B57" s="10" t="s">
        <v>422</v>
      </c>
      <c r="C57" s="10" t="s">
        <v>181</v>
      </c>
      <c r="D57" s="10" t="s">
        <v>199</v>
      </c>
      <c r="E57" s="10" t="s">
        <v>248</v>
      </c>
      <c r="F57" s="10" t="s">
        <v>83</v>
      </c>
      <c r="G57" s="10" t="s">
        <v>199</v>
      </c>
      <c r="H57" s="10" t="s">
        <v>498</v>
      </c>
      <c r="I57" s="11" t="str">
        <f aca="false">IF(F57="",E57,E57&amp;"-"&amp;F57&amp;G57&amp;"-"&amp;H57)</f>
        <v>08A06-SFA-4T</v>
      </c>
      <c r="J57" s="10" t="s">
        <v>486</v>
      </c>
      <c r="K57" s="10"/>
      <c r="L57" s="10"/>
    </row>
    <row r="58" customFormat="false" ht="15" hidden="false" customHeight="false" outlineLevel="0" collapsed="false">
      <c r="A58" s="10" t="s">
        <v>499</v>
      </c>
      <c r="B58" s="10" t="s">
        <v>422</v>
      </c>
      <c r="C58" s="10" t="s">
        <v>181</v>
      </c>
      <c r="D58" s="10" t="s">
        <v>199</v>
      </c>
      <c r="E58" s="10" t="s">
        <v>248</v>
      </c>
      <c r="F58" s="10" t="s">
        <v>83</v>
      </c>
      <c r="G58" s="10" t="s">
        <v>199</v>
      </c>
      <c r="H58" s="10" t="s">
        <v>480</v>
      </c>
      <c r="I58" s="11" t="str">
        <f aca="false">IF(F58="",E58,E58&amp;"-"&amp;F58&amp;G58&amp;"-"&amp;H58)</f>
        <v>08A06-SFA-5B</v>
      </c>
      <c r="J58" s="10" t="s">
        <v>493</v>
      </c>
      <c r="K58" s="10" t="s">
        <v>455</v>
      </c>
      <c r="L58" s="10"/>
    </row>
    <row r="59" customFormat="false" ht="15" hidden="false" customHeight="false" outlineLevel="0" collapsed="false">
      <c r="A59" s="10" t="s">
        <v>500</v>
      </c>
      <c r="B59" s="10" t="s">
        <v>422</v>
      </c>
      <c r="C59" s="10" t="s">
        <v>181</v>
      </c>
      <c r="D59" s="10" t="s">
        <v>199</v>
      </c>
      <c r="E59" s="10" t="s">
        <v>248</v>
      </c>
      <c r="F59" s="10" t="s">
        <v>72</v>
      </c>
      <c r="G59" s="10" t="s">
        <v>199</v>
      </c>
      <c r="H59" s="10" t="s">
        <v>185</v>
      </c>
      <c r="I59" s="11" t="str">
        <f aca="false">IF(F59="",E59,E59&amp;"-"&amp;F59&amp;G59&amp;"-"&amp;H59)</f>
        <v>08A06-HBA-01</v>
      </c>
      <c r="J59" s="10" t="s">
        <v>486</v>
      </c>
      <c r="K59" s="10"/>
      <c r="L59" s="10"/>
    </row>
    <row r="60" customFormat="false" ht="15" hidden="false" customHeight="false" outlineLevel="0" collapsed="false">
      <c r="A60" s="10" t="s">
        <v>501</v>
      </c>
      <c r="B60" s="10" t="s">
        <v>413</v>
      </c>
      <c r="C60" s="10" t="s">
        <v>181</v>
      </c>
      <c r="D60" s="10" t="s">
        <v>199</v>
      </c>
      <c r="E60" s="10" t="s">
        <v>248</v>
      </c>
      <c r="F60" s="10" t="s">
        <v>72</v>
      </c>
      <c r="G60" s="10" t="s">
        <v>415</v>
      </c>
      <c r="H60" s="10" t="s">
        <v>185</v>
      </c>
      <c r="I60" s="11" t="str">
        <f aca="false">IF(F60="",E60,E60&amp;"-"&amp;F60&amp;G60&amp;"-"&amp;H60)</f>
        <v>08A06-HBW-01</v>
      </c>
      <c r="J60" s="10" t="s">
        <v>486</v>
      </c>
      <c r="K60" s="10"/>
      <c r="L60" s="10"/>
    </row>
    <row r="61" customFormat="false" ht="15" hidden="false" customHeight="false" outlineLevel="0" collapsed="false">
      <c r="A61" s="10" t="s">
        <v>502</v>
      </c>
      <c r="B61" s="10" t="s">
        <v>422</v>
      </c>
      <c r="C61" s="10" t="s">
        <v>181</v>
      </c>
      <c r="D61" s="10" t="s">
        <v>199</v>
      </c>
      <c r="E61" s="10" t="s">
        <v>248</v>
      </c>
      <c r="F61" s="10" t="s">
        <v>72</v>
      </c>
      <c r="G61" s="10" t="s">
        <v>199</v>
      </c>
      <c r="H61" s="10" t="s">
        <v>187</v>
      </c>
      <c r="I61" s="11" t="str">
        <f aca="false">IF(F61="",E61,E61&amp;"-"&amp;F61&amp;G61&amp;"-"&amp;H61)</f>
        <v>08A06-HBA-02</v>
      </c>
      <c r="J61" s="10" t="s">
        <v>486</v>
      </c>
      <c r="K61" s="10"/>
      <c r="L61" s="10"/>
    </row>
    <row r="62" customFormat="false" ht="15" hidden="false" customHeight="false" outlineLevel="0" collapsed="false">
      <c r="A62" s="10" t="s">
        <v>503</v>
      </c>
      <c r="B62" s="10" t="s">
        <v>413</v>
      </c>
      <c r="C62" s="10" t="s">
        <v>181</v>
      </c>
      <c r="D62" s="10" t="s">
        <v>199</v>
      </c>
      <c r="E62" s="10" t="s">
        <v>248</v>
      </c>
      <c r="F62" s="10" t="s">
        <v>72</v>
      </c>
      <c r="G62" s="10" t="s">
        <v>415</v>
      </c>
      <c r="H62" s="10" t="s">
        <v>187</v>
      </c>
      <c r="I62" s="11" t="str">
        <f aca="false">IF(F62="",E62,E62&amp;"-"&amp;F62&amp;G62&amp;"-"&amp;H62)</f>
        <v>08A06-HBW-02</v>
      </c>
      <c r="J62" s="10" t="s">
        <v>486</v>
      </c>
      <c r="K62" s="10"/>
      <c r="L62" s="10"/>
    </row>
    <row r="63" customFormat="false" ht="15" hidden="false" customHeight="false" outlineLevel="0" collapsed="false">
      <c r="A63" s="10" t="s">
        <v>504</v>
      </c>
      <c r="B63" s="10" t="s">
        <v>422</v>
      </c>
      <c r="C63" s="10" t="s">
        <v>181</v>
      </c>
      <c r="D63" s="10" t="s">
        <v>199</v>
      </c>
      <c r="E63" s="10" t="s">
        <v>248</v>
      </c>
      <c r="F63" s="10" t="s">
        <v>72</v>
      </c>
      <c r="G63" s="10" t="s">
        <v>199</v>
      </c>
      <c r="H63" s="10" t="s">
        <v>189</v>
      </c>
      <c r="I63" s="11" t="str">
        <f aca="false">IF(F63="",E63,E63&amp;"-"&amp;F63&amp;G63&amp;"-"&amp;H63)</f>
        <v>08A06-HBA-03</v>
      </c>
      <c r="J63" s="10" t="s">
        <v>486</v>
      </c>
      <c r="K63" s="10"/>
      <c r="L63" s="10"/>
    </row>
    <row r="64" customFormat="false" ht="15" hidden="false" customHeight="false" outlineLevel="0" collapsed="false">
      <c r="A64" s="10" t="s">
        <v>505</v>
      </c>
      <c r="B64" s="10" t="s">
        <v>413</v>
      </c>
      <c r="C64" s="10" t="s">
        <v>181</v>
      </c>
      <c r="D64" s="10" t="s">
        <v>199</v>
      </c>
      <c r="E64" s="10" t="s">
        <v>248</v>
      </c>
      <c r="F64" s="10" t="s">
        <v>72</v>
      </c>
      <c r="G64" s="10" t="s">
        <v>415</v>
      </c>
      <c r="H64" s="10" t="s">
        <v>189</v>
      </c>
      <c r="I64" s="11" t="str">
        <f aca="false">IF(F64="",E64,E64&amp;"-"&amp;F64&amp;G64&amp;"-"&amp;H64)</f>
        <v>08A06-HBW-03</v>
      </c>
      <c r="J64" s="10" t="s">
        <v>486</v>
      </c>
      <c r="K64" s="10"/>
      <c r="L64" s="10"/>
    </row>
    <row r="65" customFormat="false" ht="15" hidden="false" customHeight="false" outlineLevel="0" collapsed="false">
      <c r="A65" s="10" t="s">
        <v>506</v>
      </c>
      <c r="B65" s="10" t="s">
        <v>422</v>
      </c>
      <c r="C65" s="10" t="s">
        <v>183</v>
      </c>
      <c r="D65" s="10" t="s">
        <v>199</v>
      </c>
      <c r="E65" s="10" t="s">
        <v>258</v>
      </c>
      <c r="F65" s="10" t="s">
        <v>83</v>
      </c>
      <c r="G65" s="10" t="s">
        <v>199</v>
      </c>
      <c r="H65" s="10" t="s">
        <v>378</v>
      </c>
      <c r="I65" s="11" t="str">
        <f aca="false">IF(F65="",E65,E65&amp;"-"&amp;F65&amp;G65&amp;"-"&amp;H65)</f>
        <v>08A07-SFA-1X</v>
      </c>
      <c r="J65" s="10" t="s">
        <v>507</v>
      </c>
      <c r="K65" s="10"/>
      <c r="L65" s="10"/>
    </row>
    <row r="66" customFormat="false" ht="15" hidden="false" customHeight="false" outlineLevel="0" collapsed="false">
      <c r="A66" s="10" t="s">
        <v>508</v>
      </c>
      <c r="B66" s="10" t="s">
        <v>422</v>
      </c>
      <c r="C66" s="10" t="s">
        <v>183</v>
      </c>
      <c r="D66" s="10" t="s">
        <v>199</v>
      </c>
      <c r="E66" s="10" t="s">
        <v>258</v>
      </c>
      <c r="F66" s="10" t="s">
        <v>83</v>
      </c>
      <c r="G66" s="10" t="s">
        <v>199</v>
      </c>
      <c r="H66" s="10" t="s">
        <v>509</v>
      </c>
      <c r="I66" s="11" t="str">
        <f aca="false">IF(F66="",E66,E66&amp;"-"&amp;F66&amp;G66&amp;"-"&amp;H66)</f>
        <v>08A07-SFA-2X</v>
      </c>
      <c r="J66" s="10" t="s">
        <v>507</v>
      </c>
      <c r="K66" s="10"/>
      <c r="L66" s="10"/>
    </row>
    <row r="67" customFormat="false" ht="15" hidden="false" customHeight="false" outlineLevel="0" collapsed="false">
      <c r="A67" s="10" t="s">
        <v>510</v>
      </c>
      <c r="B67" s="10" t="s">
        <v>422</v>
      </c>
      <c r="C67" s="10" t="s">
        <v>183</v>
      </c>
      <c r="D67" s="10" t="s">
        <v>199</v>
      </c>
      <c r="E67" s="10" t="s">
        <v>258</v>
      </c>
      <c r="F67" s="10" t="s">
        <v>83</v>
      </c>
      <c r="G67" s="10" t="s">
        <v>199</v>
      </c>
      <c r="H67" s="10" t="s">
        <v>511</v>
      </c>
      <c r="I67" s="11" t="str">
        <f aca="false">IF(F67="",E67,E67&amp;"-"&amp;F67&amp;G67&amp;"-"&amp;H67)</f>
        <v>08A07-SFA-3X</v>
      </c>
      <c r="J67" s="10" t="s">
        <v>507</v>
      </c>
      <c r="K67" s="10"/>
      <c r="L67" s="10"/>
    </row>
    <row r="68" customFormat="false" ht="15" hidden="false" customHeight="false" outlineLevel="0" collapsed="false">
      <c r="A68" s="10" t="s">
        <v>512</v>
      </c>
      <c r="B68" s="10" t="s">
        <v>422</v>
      </c>
      <c r="C68" s="10" t="s">
        <v>183</v>
      </c>
      <c r="D68" s="10" t="s">
        <v>199</v>
      </c>
      <c r="E68" s="10" t="s">
        <v>258</v>
      </c>
      <c r="F68" s="10" t="s">
        <v>83</v>
      </c>
      <c r="G68" s="10" t="s">
        <v>199</v>
      </c>
      <c r="H68" s="10" t="s">
        <v>478</v>
      </c>
      <c r="I68" s="11" t="str">
        <f aca="false">IF(F68="",E68,E68&amp;"-"&amp;F68&amp;G68&amp;"-"&amp;H68)</f>
        <v>08A07-SFA-4X</v>
      </c>
      <c r="J68" s="10" t="s">
        <v>507</v>
      </c>
      <c r="K68" s="10"/>
      <c r="L68" s="10"/>
    </row>
    <row r="69" customFormat="false" ht="15" hidden="false" customHeight="false" outlineLevel="0" collapsed="false">
      <c r="A69" s="10" t="s">
        <v>260</v>
      </c>
      <c r="B69" s="10" t="s">
        <v>422</v>
      </c>
      <c r="C69" s="10" t="s">
        <v>183</v>
      </c>
      <c r="D69" s="10" t="s">
        <v>199</v>
      </c>
      <c r="E69" s="10" t="s">
        <v>258</v>
      </c>
      <c r="F69" s="10"/>
      <c r="G69" s="10"/>
      <c r="H69" s="10"/>
      <c r="I69" s="11" t="s">
        <v>258</v>
      </c>
      <c r="J69" s="10" t="s">
        <v>513</v>
      </c>
      <c r="K69" s="10" t="s">
        <v>452</v>
      </c>
      <c r="L69" s="10"/>
    </row>
    <row r="70" customFormat="false" ht="15" hidden="false" customHeight="false" outlineLevel="0" collapsed="false">
      <c r="A70" s="10" t="s">
        <v>268</v>
      </c>
      <c r="B70" s="10" t="s">
        <v>422</v>
      </c>
      <c r="C70" s="10" t="s">
        <v>210</v>
      </c>
      <c r="D70" s="10" t="s">
        <v>199</v>
      </c>
      <c r="E70" s="10" t="s">
        <v>265</v>
      </c>
      <c r="F70" s="10"/>
      <c r="G70" s="10"/>
      <c r="H70" s="10"/>
      <c r="I70" s="11" t="s">
        <v>265</v>
      </c>
      <c r="J70" s="10" t="s">
        <v>514</v>
      </c>
      <c r="K70" s="10" t="s">
        <v>452</v>
      </c>
      <c r="L70" s="10"/>
    </row>
    <row r="71" customFormat="false" ht="15" hidden="false" customHeight="false" outlineLevel="0" collapsed="false">
      <c r="A71" s="10" t="s">
        <v>364</v>
      </c>
      <c r="B71" s="10" t="s">
        <v>422</v>
      </c>
      <c r="C71" s="10" t="s">
        <v>210</v>
      </c>
      <c r="D71" s="10" t="s">
        <v>199</v>
      </c>
      <c r="E71" s="10" t="s">
        <v>265</v>
      </c>
      <c r="F71" s="10" t="s">
        <v>72</v>
      </c>
      <c r="G71" s="10" t="s">
        <v>199</v>
      </c>
      <c r="H71" s="10" t="s">
        <v>185</v>
      </c>
      <c r="I71" s="11" t="str">
        <f aca="false">IF(F71="",E71,E71&amp;"-"&amp;F71&amp;G71&amp;"-"&amp;H71)</f>
        <v>08A11-HBA-01</v>
      </c>
      <c r="J71" s="10" t="s">
        <v>515</v>
      </c>
      <c r="K71" s="10"/>
      <c r="L71" s="10"/>
    </row>
    <row r="72" customFormat="false" ht="15" hidden="false" customHeight="false" outlineLevel="0" collapsed="false">
      <c r="A72" s="10" t="s">
        <v>516</v>
      </c>
      <c r="B72" s="10" t="s">
        <v>422</v>
      </c>
      <c r="C72" s="10" t="s">
        <v>210</v>
      </c>
      <c r="D72" s="10" t="s">
        <v>199</v>
      </c>
      <c r="E72" s="10" t="s">
        <v>265</v>
      </c>
      <c r="F72" s="10" t="s">
        <v>72</v>
      </c>
      <c r="G72" s="10" t="s">
        <v>199</v>
      </c>
      <c r="H72" s="10" t="s">
        <v>187</v>
      </c>
      <c r="I72" s="11" t="str">
        <f aca="false">IF(F72="",E72,E72&amp;"-"&amp;F72&amp;G72&amp;"-"&amp;H72)</f>
        <v>08A11-HBA-02</v>
      </c>
      <c r="J72" s="10" t="s">
        <v>515</v>
      </c>
      <c r="K72" s="10"/>
      <c r="L72" s="10"/>
    </row>
    <row r="73" customFormat="false" ht="15" hidden="false" customHeight="false" outlineLevel="0" collapsed="false">
      <c r="A73" s="10" t="s">
        <v>517</v>
      </c>
      <c r="B73" s="10" t="s">
        <v>422</v>
      </c>
      <c r="C73" s="10" t="s">
        <v>210</v>
      </c>
      <c r="D73" s="10" t="s">
        <v>199</v>
      </c>
      <c r="E73" s="10" t="s">
        <v>265</v>
      </c>
      <c r="F73" s="10" t="s">
        <v>72</v>
      </c>
      <c r="G73" s="10" t="s">
        <v>199</v>
      </c>
      <c r="H73" s="10" t="s">
        <v>189</v>
      </c>
      <c r="I73" s="11" t="str">
        <f aca="false">IF(F73="",E73,E73&amp;"-"&amp;F73&amp;G73&amp;"-"&amp;H73)</f>
        <v>08A11-HBA-03</v>
      </c>
      <c r="J73" s="10" t="s">
        <v>515</v>
      </c>
      <c r="K73" s="10"/>
      <c r="L73" s="10"/>
    </row>
    <row r="74" customFormat="false" ht="23.85" hidden="false" customHeight="false" outlineLevel="0" collapsed="false">
      <c r="A74" s="10" t="s">
        <v>518</v>
      </c>
      <c r="B74" s="10" t="s">
        <v>422</v>
      </c>
      <c r="C74" s="10" t="s">
        <v>210</v>
      </c>
      <c r="D74" s="10" t="s">
        <v>199</v>
      </c>
      <c r="E74" s="10" t="s">
        <v>265</v>
      </c>
      <c r="F74" s="10" t="s">
        <v>83</v>
      </c>
      <c r="G74" s="10" t="s">
        <v>199</v>
      </c>
      <c r="H74" s="10" t="s">
        <v>361</v>
      </c>
      <c r="I74" s="11" t="str">
        <f aca="false">IF(F74="",E74,E74&amp;"-"&amp;F74&amp;G74&amp;"-"&amp;H74)</f>
        <v>08A11-SFA-1B</v>
      </c>
      <c r="J74" s="10" t="s">
        <v>515</v>
      </c>
      <c r="K74" s="10" t="s">
        <v>519</v>
      </c>
      <c r="L74" s="10"/>
    </row>
    <row r="75" customFormat="false" ht="15" hidden="false" customHeight="false" outlineLevel="0" collapsed="false">
      <c r="A75" s="10" t="s">
        <v>357</v>
      </c>
      <c r="B75" s="10" t="s">
        <v>422</v>
      </c>
      <c r="C75" s="10" t="s">
        <v>210</v>
      </c>
      <c r="D75" s="10" t="s">
        <v>199</v>
      </c>
      <c r="E75" s="10" t="s">
        <v>265</v>
      </c>
      <c r="F75" s="10" t="s">
        <v>83</v>
      </c>
      <c r="G75" s="10" t="s">
        <v>199</v>
      </c>
      <c r="H75" s="10" t="s">
        <v>356</v>
      </c>
      <c r="I75" s="11" t="str">
        <f aca="false">IF(F75="",E75,E75&amp;"-"&amp;F75&amp;G75&amp;"-"&amp;H75)</f>
        <v>08A11-SFA-1T</v>
      </c>
      <c r="J75" s="10" t="s">
        <v>515</v>
      </c>
      <c r="K75" s="10"/>
      <c r="L75" s="10"/>
    </row>
    <row r="76" customFormat="false" ht="15" hidden="false" customHeight="false" outlineLevel="0" collapsed="false">
      <c r="A76" s="10" t="s">
        <v>520</v>
      </c>
      <c r="B76" s="10" t="s">
        <v>422</v>
      </c>
      <c r="C76" s="10" t="s">
        <v>210</v>
      </c>
      <c r="D76" s="10" t="s">
        <v>199</v>
      </c>
      <c r="E76" s="10" t="s">
        <v>265</v>
      </c>
      <c r="F76" s="10" t="s">
        <v>83</v>
      </c>
      <c r="G76" s="10" t="s">
        <v>199</v>
      </c>
      <c r="H76" s="10" t="s">
        <v>468</v>
      </c>
      <c r="I76" s="11" t="str">
        <f aca="false">IF(F76="",E76,E76&amp;"-"&amp;F76&amp;G76&amp;"-"&amp;H76)</f>
        <v>08A11-SFA-2B</v>
      </c>
      <c r="J76" s="10" t="s">
        <v>515</v>
      </c>
      <c r="K76" s="10"/>
      <c r="L76" s="10"/>
    </row>
    <row r="77" customFormat="false" ht="15" hidden="false" customHeight="false" outlineLevel="0" collapsed="false">
      <c r="A77" s="10" t="s">
        <v>521</v>
      </c>
      <c r="B77" s="10" t="s">
        <v>422</v>
      </c>
      <c r="C77" s="10" t="s">
        <v>210</v>
      </c>
      <c r="D77" s="10" t="s">
        <v>199</v>
      </c>
      <c r="E77" s="10" t="s">
        <v>265</v>
      </c>
      <c r="F77" s="10" t="s">
        <v>83</v>
      </c>
      <c r="G77" s="10" t="s">
        <v>199</v>
      </c>
      <c r="H77" s="10" t="s">
        <v>470</v>
      </c>
      <c r="I77" s="11" t="str">
        <f aca="false">IF(F77="",E77,E77&amp;"-"&amp;F77&amp;G77&amp;"-"&amp;H77)</f>
        <v>08A11-SFA-2T</v>
      </c>
      <c r="J77" s="10" t="s">
        <v>515</v>
      </c>
      <c r="K77" s="10"/>
      <c r="L77" s="10"/>
    </row>
    <row r="78" customFormat="false" ht="15" hidden="false" customHeight="false" outlineLevel="0" collapsed="false">
      <c r="A78" s="10" t="s">
        <v>522</v>
      </c>
      <c r="B78" s="10" t="s">
        <v>422</v>
      </c>
      <c r="C78" s="10" t="s">
        <v>210</v>
      </c>
      <c r="D78" s="10" t="s">
        <v>199</v>
      </c>
      <c r="E78" s="10" t="s">
        <v>265</v>
      </c>
      <c r="F78" s="10" t="s">
        <v>83</v>
      </c>
      <c r="G78" s="10" t="s">
        <v>199</v>
      </c>
      <c r="H78" s="10" t="s">
        <v>474</v>
      </c>
      <c r="I78" s="11" t="str">
        <f aca="false">IF(F78="",E78,E78&amp;"-"&amp;F78&amp;G78&amp;"-"&amp;H78)</f>
        <v>08A11-SFA-3B</v>
      </c>
      <c r="J78" s="10" t="s">
        <v>515</v>
      </c>
      <c r="K78" s="10"/>
      <c r="L78" s="10"/>
    </row>
    <row r="79" customFormat="false" ht="15" hidden="false" customHeight="false" outlineLevel="0" collapsed="false">
      <c r="A79" s="10" t="s">
        <v>523</v>
      </c>
      <c r="B79" s="10" t="s">
        <v>422</v>
      </c>
      <c r="C79" s="10" t="s">
        <v>210</v>
      </c>
      <c r="D79" s="10" t="s">
        <v>199</v>
      </c>
      <c r="E79" s="10" t="s">
        <v>265</v>
      </c>
      <c r="F79" s="10" t="s">
        <v>83</v>
      </c>
      <c r="G79" s="10" t="s">
        <v>199</v>
      </c>
      <c r="H79" s="10" t="s">
        <v>476</v>
      </c>
      <c r="I79" s="11" t="str">
        <f aca="false">IF(F79="",E79,E79&amp;"-"&amp;F79&amp;G79&amp;"-"&amp;H79)</f>
        <v>08A11-SFA-3T</v>
      </c>
      <c r="J79" s="10" t="s">
        <v>515</v>
      </c>
      <c r="K79" s="10"/>
      <c r="L79" s="10"/>
    </row>
    <row r="80" customFormat="false" ht="15" hidden="false" customHeight="false" outlineLevel="0" collapsed="false">
      <c r="A80" s="10" t="s">
        <v>366</v>
      </c>
      <c r="B80" s="10" t="s">
        <v>413</v>
      </c>
      <c r="C80" s="10" t="s">
        <v>210</v>
      </c>
      <c r="D80" s="10" t="s">
        <v>199</v>
      </c>
      <c r="E80" s="10" t="s">
        <v>265</v>
      </c>
      <c r="F80" s="10" t="s">
        <v>72</v>
      </c>
      <c r="G80" s="10" t="s">
        <v>415</v>
      </c>
      <c r="H80" s="10" t="s">
        <v>185</v>
      </c>
      <c r="I80" s="11" t="str">
        <f aca="false">IF(F80="",E80,E80&amp;"-"&amp;F80&amp;G80&amp;"-"&amp;H80)</f>
        <v>08A11-HBW-01</v>
      </c>
      <c r="J80" s="10" t="s">
        <v>515</v>
      </c>
      <c r="K80" s="10"/>
      <c r="L80" s="10"/>
    </row>
    <row r="81" customFormat="false" ht="15" hidden="false" customHeight="false" outlineLevel="0" collapsed="false">
      <c r="A81" s="10" t="s">
        <v>524</v>
      </c>
      <c r="B81" s="10" t="s">
        <v>413</v>
      </c>
      <c r="C81" s="10" t="s">
        <v>210</v>
      </c>
      <c r="D81" s="10" t="s">
        <v>199</v>
      </c>
      <c r="E81" s="10" t="s">
        <v>265</v>
      </c>
      <c r="F81" s="10" t="s">
        <v>72</v>
      </c>
      <c r="G81" s="10" t="s">
        <v>419</v>
      </c>
      <c r="H81" s="10" t="s">
        <v>185</v>
      </c>
      <c r="I81" s="11" t="str">
        <f aca="false">IF(F81="",E81,E81&amp;"-"&amp;F81&amp;G81&amp;"-"&amp;H81)</f>
        <v>08A11-HBP-01</v>
      </c>
      <c r="J81" s="10" t="s">
        <v>515</v>
      </c>
      <c r="K81" s="10"/>
      <c r="L81" s="10"/>
    </row>
    <row r="82" customFormat="false" ht="15" hidden="false" customHeight="false" outlineLevel="0" collapsed="false">
      <c r="A82" s="10" t="s">
        <v>525</v>
      </c>
      <c r="B82" s="10" t="s">
        <v>413</v>
      </c>
      <c r="C82" s="10" t="s">
        <v>210</v>
      </c>
      <c r="D82" s="10" t="s">
        <v>199</v>
      </c>
      <c r="E82" s="10" t="s">
        <v>265</v>
      </c>
      <c r="F82" s="10" t="s">
        <v>72</v>
      </c>
      <c r="G82" s="10" t="s">
        <v>419</v>
      </c>
      <c r="H82" s="10" t="s">
        <v>187</v>
      </c>
      <c r="I82" s="11" t="str">
        <f aca="false">IF(F82="",E82,E82&amp;"-"&amp;F82&amp;G82&amp;"-"&amp;H82)</f>
        <v>08A11-HBP-02</v>
      </c>
      <c r="J82" s="10" t="s">
        <v>515</v>
      </c>
      <c r="K82" s="10"/>
      <c r="L82" s="10"/>
    </row>
    <row r="83" customFormat="false" ht="35.05" hidden="false" customHeight="false" outlineLevel="0" collapsed="false">
      <c r="A83" s="10" t="s">
        <v>526</v>
      </c>
      <c r="B83" s="10" t="s">
        <v>422</v>
      </c>
      <c r="C83" s="10" t="s">
        <v>426</v>
      </c>
      <c r="D83" s="10" t="s">
        <v>426</v>
      </c>
      <c r="E83" s="10" t="s">
        <v>17</v>
      </c>
      <c r="F83" s="10"/>
      <c r="G83" s="10"/>
      <c r="H83" s="10"/>
      <c r="I83" s="11" t="s">
        <v>17</v>
      </c>
      <c r="J83" s="10" t="s">
        <v>527</v>
      </c>
      <c r="K83" s="10" t="s">
        <v>446</v>
      </c>
      <c r="L83" s="10"/>
    </row>
    <row r="84" customFormat="false" ht="15" hidden="false" customHeight="false" outlineLevel="0" collapsed="false">
      <c r="A84" s="10" t="s">
        <v>528</v>
      </c>
      <c r="B84" s="10" t="s">
        <v>422</v>
      </c>
      <c r="C84" s="10" t="s">
        <v>181</v>
      </c>
      <c r="D84" s="10" t="s">
        <v>437</v>
      </c>
      <c r="E84" s="10" t="s">
        <v>492</v>
      </c>
      <c r="F84" s="10"/>
      <c r="G84" s="10"/>
      <c r="H84" s="10"/>
      <c r="I84" s="11" t="s">
        <v>492</v>
      </c>
      <c r="J84" s="10" t="s">
        <v>493</v>
      </c>
      <c r="K84" s="10" t="s">
        <v>452</v>
      </c>
      <c r="L84" s="10"/>
    </row>
    <row r="85" customFormat="false" ht="15" hidden="false" customHeight="false" outlineLevel="0" collapsed="false">
      <c r="A85" s="10" t="s">
        <v>200</v>
      </c>
      <c r="B85" s="10" t="s">
        <v>422</v>
      </c>
      <c r="C85" s="10" t="s">
        <v>179</v>
      </c>
      <c r="D85" s="10" t="s">
        <v>201</v>
      </c>
      <c r="E85" s="10" t="s">
        <v>233</v>
      </c>
      <c r="F85" s="10"/>
      <c r="G85" s="10"/>
      <c r="H85" s="10"/>
      <c r="I85" s="11" t="s">
        <v>233</v>
      </c>
      <c r="J85" s="10" t="s">
        <v>451</v>
      </c>
      <c r="K85" s="10" t="s">
        <v>452</v>
      </c>
      <c r="L85" s="10"/>
    </row>
    <row r="86" customFormat="false" ht="15" hidden="false" customHeight="false" outlineLevel="0" collapsed="false">
      <c r="A86" s="10" t="s">
        <v>529</v>
      </c>
      <c r="B86" s="10" t="s">
        <v>422</v>
      </c>
      <c r="C86" s="10" t="s">
        <v>179</v>
      </c>
      <c r="D86" s="10" t="s">
        <v>201</v>
      </c>
      <c r="E86" s="10" t="s">
        <v>233</v>
      </c>
      <c r="F86" s="10" t="s">
        <v>83</v>
      </c>
      <c r="G86" s="10" t="s">
        <v>199</v>
      </c>
      <c r="H86" s="10" t="s">
        <v>185</v>
      </c>
      <c r="I86" s="11" t="str">
        <f aca="false">IF(F86="",E86,E86&amp;"-"&amp;F86&amp;G86&amp;"-"&amp;H86)</f>
        <v>08B04-SFA-01</v>
      </c>
      <c r="J86" s="10" t="s">
        <v>454</v>
      </c>
      <c r="K86" s="10" t="s">
        <v>455</v>
      </c>
      <c r="L86" s="10"/>
    </row>
    <row r="87" customFormat="false" ht="15" hidden="false" customHeight="false" outlineLevel="0" collapsed="false">
      <c r="A87" s="10" t="s">
        <v>530</v>
      </c>
      <c r="B87" s="10" t="s">
        <v>413</v>
      </c>
      <c r="C87" s="10" t="s">
        <v>179</v>
      </c>
      <c r="D87" s="10" t="s">
        <v>203</v>
      </c>
      <c r="E87" s="10" t="s">
        <v>236</v>
      </c>
      <c r="F87" s="10" t="s">
        <v>83</v>
      </c>
      <c r="G87" s="10" t="s">
        <v>419</v>
      </c>
      <c r="H87" s="10" t="s">
        <v>187</v>
      </c>
      <c r="I87" s="11" t="str">
        <f aca="false">IF(F87="",E87,E87&amp;"-"&amp;F87&amp;G87&amp;"-"&amp;H87)</f>
        <v>08C04-SFP-02</v>
      </c>
      <c r="J87" s="10" t="s">
        <v>433</v>
      </c>
      <c r="K87" s="10" t="s">
        <v>455</v>
      </c>
      <c r="L87" s="10"/>
    </row>
    <row r="88" customFormat="false" ht="15" hidden="false" customHeight="false" outlineLevel="0" collapsed="false">
      <c r="A88" s="10" t="s">
        <v>531</v>
      </c>
      <c r="B88" s="10" t="s">
        <v>413</v>
      </c>
      <c r="C88" s="10" t="s">
        <v>179</v>
      </c>
      <c r="D88" s="10" t="s">
        <v>201</v>
      </c>
      <c r="E88" s="10" t="s">
        <v>233</v>
      </c>
      <c r="F88" s="10" t="s">
        <v>83</v>
      </c>
      <c r="G88" s="10" t="s">
        <v>419</v>
      </c>
      <c r="H88" s="10" t="s">
        <v>185</v>
      </c>
      <c r="I88" s="11" t="str">
        <f aca="false">IF(F88="",E88,E88&amp;"-"&amp;F88&amp;G88&amp;"-"&amp;H88)</f>
        <v>08B04-SFP-01</v>
      </c>
      <c r="J88" s="10" t="s">
        <v>433</v>
      </c>
      <c r="K88" s="10"/>
      <c r="L88" s="10"/>
    </row>
    <row r="89" customFormat="false" ht="15" hidden="false" customHeight="false" outlineLevel="0" collapsed="false">
      <c r="A89" s="10" t="s">
        <v>532</v>
      </c>
      <c r="B89" s="10" t="s">
        <v>422</v>
      </c>
      <c r="C89" s="10" t="s">
        <v>179</v>
      </c>
      <c r="D89" s="10" t="s">
        <v>201</v>
      </c>
      <c r="E89" s="10" t="s">
        <v>233</v>
      </c>
      <c r="F89" s="10" t="s">
        <v>78</v>
      </c>
      <c r="G89" s="10" t="s">
        <v>199</v>
      </c>
      <c r="H89" s="10" t="s">
        <v>187</v>
      </c>
      <c r="I89" s="11" t="str">
        <f aca="false">IF(F89="",E89,E89&amp;"-"&amp;F89&amp;G89&amp;"-"&amp;H89)</f>
        <v>08B04-KBA-02</v>
      </c>
      <c r="J89" s="10" t="s">
        <v>433</v>
      </c>
      <c r="K89" s="10" t="s">
        <v>431</v>
      </c>
      <c r="L89" s="10"/>
    </row>
    <row r="90" customFormat="false" ht="15" hidden="false" customHeight="false" outlineLevel="0" collapsed="false">
      <c r="A90" s="10" t="s">
        <v>533</v>
      </c>
      <c r="B90" s="10" t="s">
        <v>422</v>
      </c>
      <c r="C90" s="10" t="s">
        <v>179</v>
      </c>
      <c r="D90" s="10" t="s">
        <v>201</v>
      </c>
      <c r="E90" s="10" t="s">
        <v>233</v>
      </c>
      <c r="F90" s="10" t="s">
        <v>78</v>
      </c>
      <c r="G90" s="10" t="s">
        <v>199</v>
      </c>
      <c r="H90" s="10" t="s">
        <v>189</v>
      </c>
      <c r="I90" s="11" t="str">
        <f aca="false">IF(F90="",E90,E90&amp;"-"&amp;F90&amp;G90&amp;"-"&amp;H90)</f>
        <v>08B04-KBA-03</v>
      </c>
      <c r="J90" s="10" t="s">
        <v>433</v>
      </c>
      <c r="K90" s="10" t="s">
        <v>431</v>
      </c>
      <c r="L90" s="10"/>
    </row>
    <row r="91" customFormat="false" ht="15" hidden="false" customHeight="false" outlineLevel="0" collapsed="false">
      <c r="A91" s="10" t="s">
        <v>534</v>
      </c>
      <c r="B91" s="10" t="s">
        <v>422</v>
      </c>
      <c r="C91" s="10" t="s">
        <v>179</v>
      </c>
      <c r="D91" s="10" t="s">
        <v>201</v>
      </c>
      <c r="E91" s="10" t="s">
        <v>233</v>
      </c>
      <c r="F91" s="10" t="s">
        <v>78</v>
      </c>
      <c r="G91" s="10" t="s">
        <v>199</v>
      </c>
      <c r="H91" s="10" t="s">
        <v>179</v>
      </c>
      <c r="I91" s="11" t="str">
        <f aca="false">IF(F91="",E91,E91&amp;"-"&amp;F91&amp;G91&amp;"-"&amp;H91)</f>
        <v>08B04-KBA-04</v>
      </c>
      <c r="J91" s="10" t="s">
        <v>433</v>
      </c>
      <c r="K91" s="10" t="s">
        <v>431</v>
      </c>
      <c r="L91" s="10"/>
    </row>
    <row r="92" customFormat="false" ht="15" hidden="false" customHeight="false" outlineLevel="0" collapsed="false">
      <c r="A92" s="10" t="s">
        <v>535</v>
      </c>
      <c r="B92" s="10" t="s">
        <v>422</v>
      </c>
      <c r="C92" s="10" t="s">
        <v>179</v>
      </c>
      <c r="D92" s="10" t="s">
        <v>201</v>
      </c>
      <c r="E92" s="10" t="s">
        <v>233</v>
      </c>
      <c r="F92" s="10" t="s">
        <v>78</v>
      </c>
      <c r="G92" s="10" t="s">
        <v>199</v>
      </c>
      <c r="H92" s="10" t="s">
        <v>192</v>
      </c>
      <c r="I92" s="11" t="str">
        <f aca="false">IF(F92="",E92,E92&amp;"-"&amp;F92&amp;G92&amp;"-"&amp;H92)</f>
        <v>08B04-KBA-05</v>
      </c>
      <c r="J92" s="10" t="s">
        <v>433</v>
      </c>
      <c r="K92" s="10" t="s">
        <v>431</v>
      </c>
      <c r="L92" s="10"/>
    </row>
    <row r="93" customFormat="false" ht="15" hidden="false" customHeight="false" outlineLevel="0" collapsed="false">
      <c r="A93" s="10" t="s">
        <v>536</v>
      </c>
      <c r="B93" s="10" t="s">
        <v>422</v>
      </c>
      <c r="C93" s="10" t="s">
        <v>179</v>
      </c>
      <c r="D93" s="10" t="s">
        <v>201</v>
      </c>
      <c r="E93" s="10" t="s">
        <v>233</v>
      </c>
      <c r="F93" s="10" t="s">
        <v>78</v>
      </c>
      <c r="G93" s="10" t="s">
        <v>199</v>
      </c>
      <c r="H93" s="10" t="s">
        <v>181</v>
      </c>
      <c r="I93" s="11" t="str">
        <f aca="false">IF(F93="",E93,E93&amp;"-"&amp;F93&amp;G93&amp;"-"&amp;H93)</f>
        <v>08B04-KBA-06</v>
      </c>
      <c r="J93" s="10" t="s">
        <v>433</v>
      </c>
      <c r="K93" s="10" t="s">
        <v>431</v>
      </c>
      <c r="L93" s="10"/>
    </row>
    <row r="94" customFormat="false" ht="15" hidden="false" customHeight="false" outlineLevel="0" collapsed="false">
      <c r="A94" s="10" t="s">
        <v>537</v>
      </c>
      <c r="B94" s="10" t="s">
        <v>422</v>
      </c>
      <c r="C94" s="10" t="s">
        <v>179</v>
      </c>
      <c r="D94" s="10" t="s">
        <v>201</v>
      </c>
      <c r="E94" s="10" t="s">
        <v>233</v>
      </c>
      <c r="F94" s="10" t="s">
        <v>78</v>
      </c>
      <c r="G94" s="10" t="s">
        <v>199</v>
      </c>
      <c r="H94" s="10" t="s">
        <v>183</v>
      </c>
      <c r="I94" s="11" t="str">
        <f aca="false">IF(F94="",E94,E94&amp;"-"&amp;F94&amp;G94&amp;"-"&amp;H94)</f>
        <v>08B04-KBA-07</v>
      </c>
      <c r="J94" s="10" t="s">
        <v>433</v>
      </c>
      <c r="K94" s="10" t="s">
        <v>431</v>
      </c>
      <c r="L94" s="10"/>
    </row>
    <row r="95" customFormat="false" ht="23.85" hidden="false" customHeight="false" outlineLevel="0" collapsed="false">
      <c r="A95" s="10" t="s">
        <v>538</v>
      </c>
      <c r="B95" s="10" t="s">
        <v>413</v>
      </c>
      <c r="C95" s="10" t="s">
        <v>179</v>
      </c>
      <c r="D95" s="10" t="s">
        <v>201</v>
      </c>
      <c r="E95" s="10" t="s">
        <v>233</v>
      </c>
      <c r="F95" s="10" t="s">
        <v>115</v>
      </c>
      <c r="G95" s="10" t="s">
        <v>419</v>
      </c>
      <c r="H95" s="10" t="s">
        <v>185</v>
      </c>
      <c r="I95" s="11" t="str">
        <f aca="false">IF(F95="",E95,E95&amp;"-"&amp;F95&amp;G95&amp;"-"&amp;H95)</f>
        <v>08B04-BKP-01</v>
      </c>
      <c r="J95" s="10" t="s">
        <v>433</v>
      </c>
      <c r="K95" s="10"/>
      <c r="L95" s="10"/>
    </row>
    <row r="96" customFormat="false" ht="23.85" hidden="false" customHeight="false" outlineLevel="0" collapsed="false">
      <c r="A96" s="10" t="s">
        <v>539</v>
      </c>
      <c r="B96" s="10" t="s">
        <v>413</v>
      </c>
      <c r="C96" s="10" t="s">
        <v>179</v>
      </c>
      <c r="D96" s="10" t="s">
        <v>201</v>
      </c>
      <c r="E96" s="10" t="s">
        <v>233</v>
      </c>
      <c r="F96" s="10" t="s">
        <v>95</v>
      </c>
      <c r="G96" s="10" t="s">
        <v>419</v>
      </c>
      <c r="H96" s="10" t="s">
        <v>185</v>
      </c>
      <c r="I96" s="11" t="str">
        <f aca="false">IF(F96="",E96,E96&amp;"-"&amp;F96&amp;G96&amp;"-"&amp;H96)</f>
        <v>08B04-LPP-01</v>
      </c>
      <c r="J96" s="10" t="s">
        <v>433</v>
      </c>
      <c r="K96" s="10"/>
      <c r="L96" s="10"/>
    </row>
    <row r="97" customFormat="false" ht="15" hidden="false" customHeight="false" outlineLevel="0" collapsed="false">
      <c r="A97" s="10" t="s">
        <v>540</v>
      </c>
      <c r="B97" s="10" t="s">
        <v>422</v>
      </c>
      <c r="C97" s="10" t="s">
        <v>179</v>
      </c>
      <c r="D97" s="10" t="s">
        <v>201</v>
      </c>
      <c r="E97" s="10" t="s">
        <v>233</v>
      </c>
      <c r="F97" s="10" t="s">
        <v>83</v>
      </c>
      <c r="G97" s="10" t="s">
        <v>199</v>
      </c>
      <c r="H97" s="10" t="s">
        <v>468</v>
      </c>
      <c r="I97" s="11" t="str">
        <f aca="false">IF(F97="",E97,E97&amp;"-"&amp;F97&amp;G97&amp;"-"&amp;H97)</f>
        <v>08B04-SFA-2B</v>
      </c>
      <c r="J97" s="10" t="s">
        <v>433</v>
      </c>
      <c r="K97" s="10"/>
      <c r="L97" s="10"/>
    </row>
    <row r="98" customFormat="false" ht="15" hidden="false" customHeight="false" outlineLevel="0" collapsed="false">
      <c r="A98" s="10" t="s">
        <v>541</v>
      </c>
      <c r="B98" s="10" t="s">
        <v>422</v>
      </c>
      <c r="C98" s="10" t="s">
        <v>179</v>
      </c>
      <c r="D98" s="10" t="s">
        <v>201</v>
      </c>
      <c r="E98" s="10" t="s">
        <v>233</v>
      </c>
      <c r="F98" s="10" t="s">
        <v>83</v>
      </c>
      <c r="G98" s="10" t="s">
        <v>199</v>
      </c>
      <c r="H98" s="10" t="s">
        <v>470</v>
      </c>
      <c r="I98" s="11" t="str">
        <f aca="false">IF(F98="",E98,E98&amp;"-"&amp;F98&amp;G98&amp;"-"&amp;H98)</f>
        <v>08B04-SFA-2T</v>
      </c>
      <c r="J98" s="10" t="s">
        <v>433</v>
      </c>
      <c r="K98" s="10"/>
      <c r="L98" s="10"/>
    </row>
    <row r="99" customFormat="false" ht="15" hidden="false" customHeight="false" outlineLevel="0" collapsed="false">
      <c r="A99" s="10" t="s">
        <v>542</v>
      </c>
      <c r="B99" s="10" t="s">
        <v>422</v>
      </c>
      <c r="C99" s="10" t="s">
        <v>179</v>
      </c>
      <c r="D99" s="10" t="s">
        <v>201</v>
      </c>
      <c r="E99" s="10" t="s">
        <v>233</v>
      </c>
      <c r="F99" s="10" t="s">
        <v>83</v>
      </c>
      <c r="G99" s="10" t="s">
        <v>199</v>
      </c>
      <c r="H99" s="10" t="s">
        <v>470</v>
      </c>
      <c r="I99" s="11" t="str">
        <f aca="false">IF(F99="",E99,E99&amp;"-"&amp;F99&amp;G99&amp;"-"&amp;H99)</f>
        <v>08B04-SFA-2T</v>
      </c>
      <c r="J99" s="10" t="s">
        <v>433</v>
      </c>
      <c r="K99" s="10" t="s">
        <v>543</v>
      </c>
      <c r="L99" s="10"/>
    </row>
    <row r="100" customFormat="false" ht="15" hidden="false" customHeight="false" outlineLevel="0" collapsed="false">
      <c r="A100" s="10" t="s">
        <v>544</v>
      </c>
      <c r="B100" s="10" t="s">
        <v>413</v>
      </c>
      <c r="C100" s="10" t="s">
        <v>179</v>
      </c>
      <c r="D100" s="10" t="s">
        <v>201</v>
      </c>
      <c r="E100" s="10" t="s">
        <v>233</v>
      </c>
      <c r="F100" s="10" t="s">
        <v>83</v>
      </c>
      <c r="G100" s="10" t="s">
        <v>419</v>
      </c>
      <c r="H100" s="10" t="s">
        <v>187</v>
      </c>
      <c r="I100" s="11" t="str">
        <f aca="false">IF(F100="",E100,E100&amp;"-"&amp;F100&amp;G100&amp;"-"&amp;H100)</f>
        <v>08B04-SFP-02</v>
      </c>
      <c r="J100" s="10" t="s">
        <v>433</v>
      </c>
      <c r="K100" s="10"/>
      <c r="L100" s="10"/>
    </row>
    <row r="101" customFormat="false" ht="15" hidden="false" customHeight="false" outlineLevel="0" collapsed="false">
      <c r="A101" s="10" t="s">
        <v>545</v>
      </c>
      <c r="B101" s="10" t="s">
        <v>413</v>
      </c>
      <c r="C101" s="10" t="s">
        <v>179</v>
      </c>
      <c r="D101" s="10" t="s">
        <v>201</v>
      </c>
      <c r="E101" s="10" t="s">
        <v>233</v>
      </c>
      <c r="F101" s="10" t="s">
        <v>83</v>
      </c>
      <c r="G101" s="10" t="s">
        <v>419</v>
      </c>
      <c r="H101" s="10" t="s">
        <v>189</v>
      </c>
      <c r="I101" s="11" t="str">
        <f aca="false">IF(F101="",E101,E101&amp;"-"&amp;F101&amp;G101&amp;"-"&amp;H101)</f>
        <v>08B04-SFP-03</v>
      </c>
      <c r="J101" s="10" t="s">
        <v>433</v>
      </c>
      <c r="K101" s="10"/>
      <c r="L101" s="10"/>
    </row>
    <row r="102" customFormat="false" ht="15" hidden="false" customHeight="false" outlineLevel="0" collapsed="false">
      <c r="A102" s="10" t="s">
        <v>546</v>
      </c>
      <c r="B102" s="10" t="s">
        <v>422</v>
      </c>
      <c r="C102" s="10" t="s">
        <v>179</v>
      </c>
      <c r="D102" s="10" t="s">
        <v>201</v>
      </c>
      <c r="E102" s="10" t="s">
        <v>233</v>
      </c>
      <c r="F102" s="10" t="s">
        <v>83</v>
      </c>
      <c r="G102" s="10" t="s">
        <v>199</v>
      </c>
      <c r="H102" s="10" t="s">
        <v>474</v>
      </c>
      <c r="I102" s="11" t="str">
        <f aca="false">IF(F102="",E102,E102&amp;"-"&amp;F102&amp;G102&amp;"-"&amp;H102)</f>
        <v>08B04-SFA-3B</v>
      </c>
      <c r="J102" s="10" t="s">
        <v>433</v>
      </c>
      <c r="K102" s="10"/>
      <c r="L102" s="10"/>
    </row>
    <row r="103" customFormat="false" ht="15" hidden="false" customHeight="false" outlineLevel="0" collapsed="false">
      <c r="A103" s="10" t="s">
        <v>547</v>
      </c>
      <c r="B103" s="10" t="s">
        <v>422</v>
      </c>
      <c r="C103" s="10" t="s">
        <v>179</v>
      </c>
      <c r="D103" s="10" t="s">
        <v>201</v>
      </c>
      <c r="E103" s="10" t="s">
        <v>233</v>
      </c>
      <c r="F103" s="10" t="s">
        <v>83</v>
      </c>
      <c r="G103" s="10" t="s">
        <v>199</v>
      </c>
      <c r="H103" s="10" t="s">
        <v>476</v>
      </c>
      <c r="I103" s="11" t="str">
        <f aca="false">IF(F103="",E103,E103&amp;"-"&amp;F103&amp;G103&amp;"-"&amp;H103)</f>
        <v>08B04-SFA-3T</v>
      </c>
      <c r="J103" s="10" t="s">
        <v>433</v>
      </c>
      <c r="K103" s="10"/>
      <c r="L103" s="10"/>
    </row>
    <row r="104" customFormat="false" ht="15" hidden="false" customHeight="false" outlineLevel="0" collapsed="false">
      <c r="A104" s="10" t="s">
        <v>548</v>
      </c>
      <c r="B104" s="10" t="s">
        <v>422</v>
      </c>
      <c r="C104" s="10" t="s">
        <v>179</v>
      </c>
      <c r="D104" s="10" t="s">
        <v>201</v>
      </c>
      <c r="E104" s="10" t="s">
        <v>233</v>
      </c>
      <c r="F104" s="10" t="s">
        <v>83</v>
      </c>
      <c r="G104" s="10" t="s">
        <v>199</v>
      </c>
      <c r="H104" s="10" t="s">
        <v>478</v>
      </c>
      <c r="I104" s="11" t="str">
        <f aca="false">IF(F104="",E104,E104&amp;"-"&amp;F104&amp;G104&amp;"-"&amp;H104)</f>
        <v>08B04-SFA-4X</v>
      </c>
      <c r="J104" s="10" t="s">
        <v>433</v>
      </c>
      <c r="K104" s="10"/>
      <c r="L104" s="10"/>
    </row>
    <row r="105" customFormat="false" ht="15" hidden="false" customHeight="false" outlineLevel="0" collapsed="false">
      <c r="A105" s="10" t="s">
        <v>549</v>
      </c>
      <c r="B105" s="10" t="s">
        <v>422</v>
      </c>
      <c r="C105" s="10" t="s">
        <v>179</v>
      </c>
      <c r="D105" s="10" t="s">
        <v>201</v>
      </c>
      <c r="E105" s="10" t="s">
        <v>233</v>
      </c>
      <c r="F105" s="10" t="s">
        <v>83</v>
      </c>
      <c r="G105" s="10" t="s">
        <v>199</v>
      </c>
      <c r="H105" s="10" t="s">
        <v>480</v>
      </c>
      <c r="I105" s="11" t="str">
        <f aca="false">IF(F105="",E105,E105&amp;"-"&amp;F105&amp;G105&amp;"-"&amp;H105)</f>
        <v>08B04-SFA-5B</v>
      </c>
      <c r="J105" s="10" t="s">
        <v>433</v>
      </c>
      <c r="K105" s="10"/>
      <c r="L105" s="10"/>
    </row>
    <row r="106" customFormat="false" ht="15" hidden="false" customHeight="false" outlineLevel="0" collapsed="false">
      <c r="A106" s="10" t="s">
        <v>550</v>
      </c>
      <c r="B106" s="10" t="s">
        <v>422</v>
      </c>
      <c r="C106" s="10" t="s">
        <v>179</v>
      </c>
      <c r="D106" s="10" t="s">
        <v>201</v>
      </c>
      <c r="E106" s="10" t="s">
        <v>233</v>
      </c>
      <c r="F106" s="10" t="s">
        <v>83</v>
      </c>
      <c r="G106" s="10" t="s">
        <v>199</v>
      </c>
      <c r="H106" s="10" t="s">
        <v>482</v>
      </c>
      <c r="I106" s="11" t="str">
        <f aca="false">IF(F106="",E106,E106&amp;"-"&amp;F106&amp;G106&amp;"-"&amp;H106)</f>
        <v>08B04-SFA-5T</v>
      </c>
      <c r="J106" s="10" t="s">
        <v>433</v>
      </c>
      <c r="K106" s="10"/>
      <c r="L106" s="10"/>
    </row>
    <row r="107" customFormat="false" ht="15" hidden="false" customHeight="false" outlineLevel="0" collapsed="false">
      <c r="A107" s="10" t="s">
        <v>551</v>
      </c>
      <c r="B107" s="10" t="s">
        <v>413</v>
      </c>
      <c r="C107" s="10" t="s">
        <v>179</v>
      </c>
      <c r="D107" s="10" t="s">
        <v>414</v>
      </c>
      <c r="E107" s="10" t="s">
        <v>239</v>
      </c>
      <c r="F107" s="10" t="s">
        <v>83</v>
      </c>
      <c r="G107" s="10" t="s">
        <v>419</v>
      </c>
      <c r="H107" s="10" t="s">
        <v>185</v>
      </c>
      <c r="I107" s="11" t="str">
        <f aca="false">IF(F107="",E107,E107&amp;"-"&amp;F107&amp;G107&amp;"-"&amp;H107)</f>
        <v>08Z04-SFP-01</v>
      </c>
      <c r="J107" s="10" t="s">
        <v>433</v>
      </c>
      <c r="K107" s="10" t="s">
        <v>455</v>
      </c>
      <c r="L107" s="10"/>
    </row>
    <row r="108" customFormat="false" ht="15" hidden="false" customHeight="false" outlineLevel="0" collapsed="false">
      <c r="A108" s="10" t="s">
        <v>552</v>
      </c>
      <c r="B108" s="10" t="s">
        <v>422</v>
      </c>
      <c r="C108" s="10" t="s">
        <v>179</v>
      </c>
      <c r="D108" s="10" t="s">
        <v>201</v>
      </c>
      <c r="E108" s="10" t="s">
        <v>233</v>
      </c>
      <c r="F108" s="10"/>
      <c r="G108" s="10"/>
      <c r="H108" s="10"/>
      <c r="I108" s="11" t="s">
        <v>233</v>
      </c>
      <c r="J108" s="10" t="s">
        <v>433</v>
      </c>
      <c r="K108" s="10" t="s">
        <v>452</v>
      </c>
      <c r="L108" s="10"/>
    </row>
    <row r="109" customFormat="false" ht="15" hidden="false" customHeight="false" outlineLevel="0" collapsed="false">
      <c r="A109" s="10" t="s">
        <v>235</v>
      </c>
      <c r="B109" s="10" t="s">
        <v>422</v>
      </c>
      <c r="C109" s="10" t="s">
        <v>179</v>
      </c>
      <c r="D109" s="10" t="s">
        <v>201</v>
      </c>
      <c r="E109" s="10" t="s">
        <v>233</v>
      </c>
      <c r="F109" s="10"/>
      <c r="G109" s="10"/>
      <c r="H109" s="10"/>
      <c r="I109" s="11" t="s">
        <v>233</v>
      </c>
      <c r="J109" s="10" t="s">
        <v>451</v>
      </c>
      <c r="K109" s="10" t="s">
        <v>452</v>
      </c>
      <c r="L109" s="10"/>
    </row>
    <row r="110" customFormat="false" ht="15" hidden="false" customHeight="false" outlineLevel="0" collapsed="false">
      <c r="A110" s="10" t="s">
        <v>254</v>
      </c>
      <c r="B110" s="10" t="s">
        <v>422</v>
      </c>
      <c r="C110" s="10" t="s">
        <v>181</v>
      </c>
      <c r="D110" s="10" t="s">
        <v>201</v>
      </c>
      <c r="E110" s="10" t="s">
        <v>252</v>
      </c>
      <c r="F110" s="10"/>
      <c r="G110" s="10"/>
      <c r="H110" s="10"/>
      <c r="I110" s="11" t="s">
        <v>252</v>
      </c>
      <c r="J110" s="10" t="s">
        <v>553</v>
      </c>
      <c r="K110" s="10" t="s">
        <v>452</v>
      </c>
      <c r="L110" s="10"/>
    </row>
    <row r="111" customFormat="false" ht="15" hidden="false" customHeight="false" outlineLevel="0" collapsed="false">
      <c r="A111" s="10" t="s">
        <v>554</v>
      </c>
      <c r="B111" s="10" t="s">
        <v>413</v>
      </c>
      <c r="C111" s="10" t="s">
        <v>181</v>
      </c>
      <c r="D111" s="10" t="s">
        <v>201</v>
      </c>
      <c r="E111" s="10" t="s">
        <v>252</v>
      </c>
      <c r="F111" s="10" t="s">
        <v>83</v>
      </c>
      <c r="G111" s="10" t="s">
        <v>415</v>
      </c>
      <c r="H111" s="10" t="s">
        <v>185</v>
      </c>
      <c r="I111" s="11" t="str">
        <f aca="false">IF(F111="",E111,E111&amp;"-"&amp;F111&amp;G111&amp;"-"&amp;H111)</f>
        <v>08B06-SFW-01</v>
      </c>
      <c r="J111" s="10" t="s">
        <v>553</v>
      </c>
      <c r="K111" s="10"/>
      <c r="L111" s="10"/>
    </row>
    <row r="112" customFormat="false" ht="15" hidden="false" customHeight="false" outlineLevel="0" collapsed="false">
      <c r="A112" s="10" t="s">
        <v>555</v>
      </c>
      <c r="B112" s="10" t="s">
        <v>422</v>
      </c>
      <c r="C112" s="10" t="s">
        <v>181</v>
      </c>
      <c r="D112" s="10" t="s">
        <v>201</v>
      </c>
      <c r="E112" s="10" t="s">
        <v>252</v>
      </c>
      <c r="F112" s="10" t="s">
        <v>83</v>
      </c>
      <c r="G112" s="10" t="s">
        <v>199</v>
      </c>
      <c r="H112" s="10" t="s">
        <v>361</v>
      </c>
      <c r="I112" s="11" t="str">
        <f aca="false">IF(F112="",E112,E112&amp;"-"&amp;F112&amp;G112&amp;"-"&amp;H112)</f>
        <v>08B06-SFA-1B</v>
      </c>
      <c r="J112" s="10" t="s">
        <v>553</v>
      </c>
      <c r="K112" s="10"/>
      <c r="L112" s="10"/>
    </row>
    <row r="113" customFormat="false" ht="15" hidden="false" customHeight="false" outlineLevel="0" collapsed="false">
      <c r="A113" s="10" t="s">
        <v>556</v>
      </c>
      <c r="B113" s="10" t="s">
        <v>422</v>
      </c>
      <c r="C113" s="10" t="s">
        <v>181</v>
      </c>
      <c r="D113" s="10" t="s">
        <v>201</v>
      </c>
      <c r="E113" s="10" t="s">
        <v>252</v>
      </c>
      <c r="F113" s="10" t="s">
        <v>83</v>
      </c>
      <c r="G113" s="10" t="s">
        <v>199</v>
      </c>
      <c r="H113" s="10" t="s">
        <v>356</v>
      </c>
      <c r="I113" s="11" t="str">
        <f aca="false">IF(F113="",E113,E113&amp;"-"&amp;F113&amp;G113&amp;"-"&amp;H113)</f>
        <v>08B06-SFA-1T</v>
      </c>
      <c r="J113" s="10" t="s">
        <v>553</v>
      </c>
      <c r="K113" s="10"/>
      <c r="L113" s="10"/>
    </row>
    <row r="114" customFormat="false" ht="15" hidden="false" customHeight="false" outlineLevel="0" collapsed="false">
      <c r="A114" s="10" t="s">
        <v>557</v>
      </c>
      <c r="B114" s="10" t="s">
        <v>422</v>
      </c>
      <c r="C114" s="10" t="s">
        <v>181</v>
      </c>
      <c r="D114" s="10" t="s">
        <v>201</v>
      </c>
      <c r="E114" s="10" t="s">
        <v>252</v>
      </c>
      <c r="F114" s="10" t="s">
        <v>83</v>
      </c>
      <c r="G114" s="10" t="s">
        <v>199</v>
      </c>
      <c r="H114" s="10" t="s">
        <v>470</v>
      </c>
      <c r="I114" s="11" t="str">
        <f aca="false">IF(F114="",E114,E114&amp;"-"&amp;F114&amp;G114&amp;"-"&amp;H114)</f>
        <v>08B06-SFA-2T</v>
      </c>
      <c r="J114" s="10" t="s">
        <v>553</v>
      </c>
      <c r="K114" s="10"/>
      <c r="L114" s="10"/>
    </row>
    <row r="115" customFormat="false" ht="15" hidden="false" customHeight="false" outlineLevel="0" collapsed="false">
      <c r="A115" s="10" t="s">
        <v>558</v>
      </c>
      <c r="B115" s="10" t="s">
        <v>422</v>
      </c>
      <c r="C115" s="10" t="s">
        <v>181</v>
      </c>
      <c r="D115" s="10" t="s">
        <v>201</v>
      </c>
      <c r="E115" s="10" t="s">
        <v>252</v>
      </c>
      <c r="F115" s="10" t="s">
        <v>83</v>
      </c>
      <c r="G115" s="10" t="s">
        <v>199</v>
      </c>
      <c r="H115" s="10" t="s">
        <v>476</v>
      </c>
      <c r="I115" s="11" t="str">
        <f aca="false">IF(F115="",E115,E115&amp;"-"&amp;F115&amp;G115&amp;"-"&amp;H115)</f>
        <v>08B06-SFA-3T</v>
      </c>
      <c r="J115" s="10" t="s">
        <v>553</v>
      </c>
      <c r="K115" s="10"/>
      <c r="L115" s="10"/>
    </row>
    <row r="116" customFormat="false" ht="15" hidden="false" customHeight="false" outlineLevel="0" collapsed="false">
      <c r="A116" s="10" t="s">
        <v>559</v>
      </c>
      <c r="B116" s="10" t="s">
        <v>422</v>
      </c>
      <c r="C116" s="10" t="s">
        <v>181</v>
      </c>
      <c r="D116" s="10" t="s">
        <v>201</v>
      </c>
      <c r="E116" s="10" t="s">
        <v>252</v>
      </c>
      <c r="F116" s="10" t="s">
        <v>83</v>
      </c>
      <c r="G116" s="10" t="s">
        <v>199</v>
      </c>
      <c r="H116" s="10" t="s">
        <v>496</v>
      </c>
      <c r="I116" s="11" t="str">
        <f aca="false">IF(F116="",E116,E116&amp;"-"&amp;F116&amp;G116&amp;"-"&amp;H116)</f>
        <v>08B06-SFA-4B</v>
      </c>
      <c r="J116" s="10" t="s">
        <v>553</v>
      </c>
      <c r="K116" s="10"/>
      <c r="L116" s="10"/>
    </row>
    <row r="117" customFormat="false" ht="15" hidden="false" customHeight="false" outlineLevel="0" collapsed="false">
      <c r="A117" s="10" t="s">
        <v>560</v>
      </c>
      <c r="B117" s="10" t="s">
        <v>422</v>
      </c>
      <c r="C117" s="10" t="s">
        <v>181</v>
      </c>
      <c r="D117" s="10" t="s">
        <v>201</v>
      </c>
      <c r="E117" s="10" t="s">
        <v>252</v>
      </c>
      <c r="F117" s="10" t="s">
        <v>83</v>
      </c>
      <c r="G117" s="10" t="s">
        <v>199</v>
      </c>
      <c r="H117" s="10" t="s">
        <v>498</v>
      </c>
      <c r="I117" s="11" t="str">
        <f aca="false">IF(F117="",E117,E117&amp;"-"&amp;F117&amp;G117&amp;"-"&amp;H117)</f>
        <v>08B06-SFA-4T</v>
      </c>
      <c r="J117" s="10" t="s">
        <v>553</v>
      </c>
      <c r="K117" s="10"/>
      <c r="L117" s="10"/>
    </row>
    <row r="118" customFormat="false" ht="15" hidden="false" customHeight="false" outlineLevel="0" collapsed="false">
      <c r="A118" s="10" t="s">
        <v>561</v>
      </c>
      <c r="B118" s="10" t="s">
        <v>422</v>
      </c>
      <c r="C118" s="10" t="s">
        <v>181</v>
      </c>
      <c r="D118" s="10" t="s">
        <v>201</v>
      </c>
      <c r="E118" s="10" t="s">
        <v>252</v>
      </c>
      <c r="F118" s="10" t="s">
        <v>83</v>
      </c>
      <c r="G118" s="10" t="s">
        <v>199</v>
      </c>
      <c r="H118" s="10" t="s">
        <v>480</v>
      </c>
      <c r="I118" s="11" t="str">
        <f aca="false">IF(F118="",E118,E118&amp;"-"&amp;F118&amp;G118&amp;"-"&amp;H118)</f>
        <v>08B06-SFA-5B</v>
      </c>
      <c r="J118" s="10" t="s">
        <v>553</v>
      </c>
      <c r="K118" s="10"/>
      <c r="L118" s="10"/>
    </row>
    <row r="119" customFormat="false" ht="15" hidden="false" customHeight="false" outlineLevel="0" collapsed="false">
      <c r="A119" s="10" t="s">
        <v>562</v>
      </c>
      <c r="B119" s="10" t="s">
        <v>422</v>
      </c>
      <c r="C119" s="10" t="s">
        <v>181</v>
      </c>
      <c r="D119" s="10" t="s">
        <v>201</v>
      </c>
      <c r="E119" s="10" t="s">
        <v>252</v>
      </c>
      <c r="F119" s="10" t="s">
        <v>72</v>
      </c>
      <c r="G119" s="10" t="s">
        <v>199</v>
      </c>
      <c r="H119" s="10" t="s">
        <v>185</v>
      </c>
      <c r="I119" s="11" t="str">
        <f aca="false">IF(F119="",E119,E119&amp;"-"&amp;F119&amp;G119&amp;"-"&amp;H119)</f>
        <v>08B06-HBA-01</v>
      </c>
      <c r="J119" s="10" t="s">
        <v>553</v>
      </c>
      <c r="K119" s="10"/>
      <c r="L119" s="10"/>
    </row>
    <row r="120" customFormat="false" ht="15" hidden="false" customHeight="false" outlineLevel="0" collapsed="false">
      <c r="A120" s="10" t="s">
        <v>563</v>
      </c>
      <c r="B120" s="10" t="s">
        <v>413</v>
      </c>
      <c r="C120" s="10" t="s">
        <v>181</v>
      </c>
      <c r="D120" s="10" t="s">
        <v>201</v>
      </c>
      <c r="E120" s="10" t="s">
        <v>252</v>
      </c>
      <c r="F120" s="10" t="s">
        <v>72</v>
      </c>
      <c r="G120" s="10" t="s">
        <v>415</v>
      </c>
      <c r="H120" s="10" t="s">
        <v>185</v>
      </c>
      <c r="I120" s="11" t="str">
        <f aca="false">IF(F120="",E120,E120&amp;"-"&amp;F120&amp;G120&amp;"-"&amp;H120)</f>
        <v>08B06-HBW-01</v>
      </c>
      <c r="J120" s="10" t="s">
        <v>553</v>
      </c>
      <c r="K120" s="10"/>
      <c r="L120" s="10"/>
    </row>
    <row r="121" customFormat="false" ht="15" hidden="false" customHeight="false" outlineLevel="0" collapsed="false">
      <c r="A121" s="10" t="s">
        <v>564</v>
      </c>
      <c r="B121" s="10" t="s">
        <v>422</v>
      </c>
      <c r="C121" s="10" t="s">
        <v>181</v>
      </c>
      <c r="D121" s="10" t="s">
        <v>201</v>
      </c>
      <c r="E121" s="10" t="s">
        <v>252</v>
      </c>
      <c r="F121" s="10" t="s">
        <v>72</v>
      </c>
      <c r="G121" s="10" t="s">
        <v>199</v>
      </c>
      <c r="H121" s="10" t="s">
        <v>187</v>
      </c>
      <c r="I121" s="11" t="str">
        <f aca="false">IF(F121="",E121,E121&amp;"-"&amp;F121&amp;G121&amp;"-"&amp;H121)</f>
        <v>08B06-HBA-02</v>
      </c>
      <c r="J121" s="10" t="s">
        <v>553</v>
      </c>
      <c r="K121" s="10"/>
      <c r="L121" s="10"/>
    </row>
    <row r="122" customFormat="false" ht="15" hidden="false" customHeight="false" outlineLevel="0" collapsed="false">
      <c r="A122" s="10" t="s">
        <v>565</v>
      </c>
      <c r="B122" s="10" t="s">
        <v>413</v>
      </c>
      <c r="C122" s="10" t="s">
        <v>181</v>
      </c>
      <c r="D122" s="10" t="s">
        <v>201</v>
      </c>
      <c r="E122" s="10" t="s">
        <v>252</v>
      </c>
      <c r="F122" s="10" t="s">
        <v>72</v>
      </c>
      <c r="G122" s="10" t="s">
        <v>415</v>
      </c>
      <c r="H122" s="10" t="s">
        <v>187</v>
      </c>
      <c r="I122" s="11" t="str">
        <f aca="false">IF(F122="",E122,E122&amp;"-"&amp;F122&amp;G122&amp;"-"&amp;H122)</f>
        <v>08B06-HBW-02</v>
      </c>
      <c r="J122" s="10" t="s">
        <v>553</v>
      </c>
      <c r="K122" s="10"/>
      <c r="L122" s="10"/>
    </row>
    <row r="123" customFormat="false" ht="15" hidden="false" customHeight="false" outlineLevel="0" collapsed="false">
      <c r="A123" s="10" t="s">
        <v>566</v>
      </c>
      <c r="B123" s="10" t="s">
        <v>422</v>
      </c>
      <c r="C123" s="10" t="s">
        <v>181</v>
      </c>
      <c r="D123" s="10" t="s">
        <v>201</v>
      </c>
      <c r="E123" s="10" t="s">
        <v>252</v>
      </c>
      <c r="F123" s="10" t="s">
        <v>72</v>
      </c>
      <c r="G123" s="10" t="s">
        <v>199</v>
      </c>
      <c r="H123" s="10" t="s">
        <v>189</v>
      </c>
      <c r="I123" s="11" t="str">
        <f aca="false">IF(F123="",E123,E123&amp;"-"&amp;F123&amp;G123&amp;"-"&amp;H123)</f>
        <v>08B06-HBA-03</v>
      </c>
      <c r="J123" s="10" t="s">
        <v>553</v>
      </c>
      <c r="K123" s="10"/>
      <c r="L123" s="10"/>
    </row>
    <row r="124" customFormat="false" ht="15" hidden="false" customHeight="false" outlineLevel="0" collapsed="false">
      <c r="A124" s="10" t="s">
        <v>567</v>
      </c>
      <c r="B124" s="10" t="s">
        <v>413</v>
      </c>
      <c r="C124" s="10" t="s">
        <v>181</v>
      </c>
      <c r="D124" s="10" t="s">
        <v>201</v>
      </c>
      <c r="E124" s="10" t="s">
        <v>252</v>
      </c>
      <c r="F124" s="10" t="s">
        <v>72</v>
      </c>
      <c r="G124" s="10" t="s">
        <v>415</v>
      </c>
      <c r="H124" s="10" t="s">
        <v>189</v>
      </c>
      <c r="I124" s="11" t="str">
        <f aca="false">IF(F124="",E124,E124&amp;"-"&amp;F124&amp;G124&amp;"-"&amp;H124)</f>
        <v>08B06-HBW-03</v>
      </c>
      <c r="J124" s="10" t="s">
        <v>553</v>
      </c>
      <c r="K124" s="10"/>
      <c r="L124" s="10"/>
    </row>
    <row r="125" customFormat="false" ht="15" hidden="false" customHeight="false" outlineLevel="0" collapsed="false">
      <c r="A125" s="10" t="s">
        <v>272</v>
      </c>
      <c r="B125" s="10" t="s">
        <v>422</v>
      </c>
      <c r="C125" s="10" t="s">
        <v>210</v>
      </c>
      <c r="D125" s="10" t="s">
        <v>201</v>
      </c>
      <c r="E125" s="10" t="s">
        <v>270</v>
      </c>
      <c r="F125" s="10"/>
      <c r="G125" s="10"/>
      <c r="H125" s="10"/>
      <c r="I125" s="11" t="s">
        <v>270</v>
      </c>
      <c r="J125" s="10" t="s">
        <v>514</v>
      </c>
      <c r="K125" s="10" t="s">
        <v>452</v>
      </c>
      <c r="L125" s="10"/>
    </row>
    <row r="126" customFormat="false" ht="15" hidden="false" customHeight="false" outlineLevel="0" collapsed="false">
      <c r="A126" s="10" t="s">
        <v>368</v>
      </c>
      <c r="B126" s="10" t="s">
        <v>422</v>
      </c>
      <c r="C126" s="10" t="s">
        <v>210</v>
      </c>
      <c r="D126" s="10" t="s">
        <v>201</v>
      </c>
      <c r="E126" s="10" t="s">
        <v>270</v>
      </c>
      <c r="F126" s="10" t="s">
        <v>72</v>
      </c>
      <c r="G126" s="10" t="s">
        <v>199</v>
      </c>
      <c r="H126" s="10" t="s">
        <v>185</v>
      </c>
      <c r="I126" s="11" t="str">
        <f aca="false">IF(F126="",E126,E126&amp;"-"&amp;F126&amp;G126&amp;"-"&amp;H126)</f>
        <v>08B11-HBA-01</v>
      </c>
      <c r="J126" s="10" t="s">
        <v>568</v>
      </c>
      <c r="K126" s="10"/>
      <c r="L126" s="10"/>
    </row>
    <row r="127" customFormat="false" ht="15" hidden="false" customHeight="false" outlineLevel="0" collapsed="false">
      <c r="A127" s="10" t="s">
        <v>569</v>
      </c>
      <c r="B127" s="10" t="s">
        <v>422</v>
      </c>
      <c r="C127" s="10" t="s">
        <v>210</v>
      </c>
      <c r="D127" s="10" t="s">
        <v>201</v>
      </c>
      <c r="E127" s="10" t="s">
        <v>270</v>
      </c>
      <c r="F127" s="10" t="s">
        <v>72</v>
      </c>
      <c r="G127" s="10" t="s">
        <v>199</v>
      </c>
      <c r="H127" s="10" t="s">
        <v>187</v>
      </c>
      <c r="I127" s="11" t="str">
        <f aca="false">IF(F127="",E127,E127&amp;"-"&amp;F127&amp;G127&amp;"-"&amp;H127)</f>
        <v>08B11-HBA-02</v>
      </c>
      <c r="J127" s="10" t="s">
        <v>568</v>
      </c>
      <c r="K127" s="10"/>
      <c r="L127" s="10"/>
    </row>
    <row r="128" customFormat="false" ht="15" hidden="false" customHeight="false" outlineLevel="0" collapsed="false">
      <c r="A128" s="10" t="s">
        <v>570</v>
      </c>
      <c r="B128" s="10" t="s">
        <v>422</v>
      </c>
      <c r="C128" s="10" t="s">
        <v>210</v>
      </c>
      <c r="D128" s="10" t="s">
        <v>201</v>
      </c>
      <c r="E128" s="10" t="s">
        <v>270</v>
      </c>
      <c r="F128" s="10" t="s">
        <v>72</v>
      </c>
      <c r="G128" s="10" t="s">
        <v>199</v>
      </c>
      <c r="H128" s="10" t="s">
        <v>189</v>
      </c>
      <c r="I128" s="11" t="str">
        <f aca="false">IF(F128="",E128,E128&amp;"-"&amp;F128&amp;G128&amp;"-"&amp;H128)</f>
        <v>08B11-HBA-03</v>
      </c>
      <c r="J128" s="10" t="s">
        <v>568</v>
      </c>
      <c r="K128" s="10"/>
      <c r="L128" s="10"/>
    </row>
    <row r="129" customFormat="false" ht="15" hidden="false" customHeight="false" outlineLevel="0" collapsed="false">
      <c r="A129" s="10" t="s">
        <v>362</v>
      </c>
      <c r="B129" s="10" t="s">
        <v>422</v>
      </c>
      <c r="C129" s="10" t="s">
        <v>210</v>
      </c>
      <c r="D129" s="10" t="s">
        <v>201</v>
      </c>
      <c r="E129" s="10" t="s">
        <v>270</v>
      </c>
      <c r="F129" s="10" t="s">
        <v>83</v>
      </c>
      <c r="G129" s="10" t="s">
        <v>199</v>
      </c>
      <c r="H129" s="10" t="s">
        <v>361</v>
      </c>
      <c r="I129" s="11" t="str">
        <f aca="false">IF(F129="",E129,E129&amp;"-"&amp;F129&amp;G129&amp;"-"&amp;H129)</f>
        <v>08B11-SFA-1B</v>
      </c>
      <c r="J129" s="10" t="s">
        <v>568</v>
      </c>
      <c r="K129" s="10"/>
      <c r="L129" s="10"/>
    </row>
    <row r="130" customFormat="false" ht="15" hidden="false" customHeight="false" outlineLevel="0" collapsed="false">
      <c r="A130" s="10" t="s">
        <v>571</v>
      </c>
      <c r="B130" s="10" t="s">
        <v>422</v>
      </c>
      <c r="C130" s="10" t="s">
        <v>210</v>
      </c>
      <c r="D130" s="10" t="s">
        <v>201</v>
      </c>
      <c r="E130" s="10" t="s">
        <v>270</v>
      </c>
      <c r="F130" s="10" t="s">
        <v>83</v>
      </c>
      <c r="G130" s="10" t="s">
        <v>199</v>
      </c>
      <c r="H130" s="10" t="s">
        <v>356</v>
      </c>
      <c r="I130" s="11" t="str">
        <f aca="false">IF(F130="",E130,E130&amp;"-"&amp;F130&amp;G130&amp;"-"&amp;H130)</f>
        <v>08B11-SFA-1T</v>
      </c>
      <c r="J130" s="10" t="s">
        <v>568</v>
      </c>
      <c r="K130" s="10"/>
      <c r="L130" s="10"/>
    </row>
    <row r="131" customFormat="false" ht="15" hidden="false" customHeight="false" outlineLevel="0" collapsed="false">
      <c r="A131" s="10" t="s">
        <v>572</v>
      </c>
      <c r="B131" s="10" t="s">
        <v>422</v>
      </c>
      <c r="C131" s="10" t="s">
        <v>210</v>
      </c>
      <c r="D131" s="10" t="s">
        <v>201</v>
      </c>
      <c r="E131" s="10" t="s">
        <v>270</v>
      </c>
      <c r="F131" s="10" t="s">
        <v>83</v>
      </c>
      <c r="G131" s="10" t="s">
        <v>199</v>
      </c>
      <c r="H131" s="10" t="s">
        <v>468</v>
      </c>
      <c r="I131" s="11" t="str">
        <f aca="false">IF(F131="",E131,E131&amp;"-"&amp;F131&amp;G131&amp;"-"&amp;H131)</f>
        <v>08B11-SFA-2B</v>
      </c>
      <c r="J131" s="10" t="s">
        <v>568</v>
      </c>
      <c r="K131" s="10"/>
      <c r="L131" s="10"/>
    </row>
    <row r="132" customFormat="false" ht="15" hidden="false" customHeight="false" outlineLevel="0" collapsed="false">
      <c r="A132" s="10" t="s">
        <v>573</v>
      </c>
      <c r="B132" s="10" t="s">
        <v>422</v>
      </c>
      <c r="C132" s="10" t="s">
        <v>210</v>
      </c>
      <c r="D132" s="10" t="s">
        <v>201</v>
      </c>
      <c r="E132" s="10" t="s">
        <v>270</v>
      </c>
      <c r="F132" s="10" t="s">
        <v>83</v>
      </c>
      <c r="G132" s="10" t="s">
        <v>199</v>
      </c>
      <c r="H132" s="10" t="s">
        <v>470</v>
      </c>
      <c r="I132" s="11" t="str">
        <f aca="false">IF(F132="",E132,E132&amp;"-"&amp;F132&amp;G132&amp;"-"&amp;H132)</f>
        <v>08B11-SFA-2T</v>
      </c>
      <c r="J132" s="10" t="s">
        <v>568</v>
      </c>
      <c r="K132" s="10"/>
      <c r="L132" s="10"/>
    </row>
    <row r="133" customFormat="false" ht="15" hidden="false" customHeight="false" outlineLevel="0" collapsed="false">
      <c r="A133" s="10" t="s">
        <v>574</v>
      </c>
      <c r="B133" s="10" t="s">
        <v>422</v>
      </c>
      <c r="C133" s="10" t="s">
        <v>210</v>
      </c>
      <c r="D133" s="10" t="s">
        <v>201</v>
      </c>
      <c r="E133" s="10" t="s">
        <v>270</v>
      </c>
      <c r="F133" s="10" t="s">
        <v>83</v>
      </c>
      <c r="G133" s="10" t="s">
        <v>199</v>
      </c>
      <c r="H133" s="10" t="s">
        <v>474</v>
      </c>
      <c r="I133" s="11" t="str">
        <f aca="false">IF(F133="",E133,E133&amp;"-"&amp;F133&amp;G133&amp;"-"&amp;H133)</f>
        <v>08B11-SFA-3B</v>
      </c>
      <c r="J133" s="10" t="s">
        <v>568</v>
      </c>
      <c r="K133" s="10"/>
      <c r="L133" s="10"/>
    </row>
    <row r="134" customFormat="false" ht="15" hidden="false" customHeight="false" outlineLevel="0" collapsed="false">
      <c r="A134" s="10" t="s">
        <v>575</v>
      </c>
      <c r="B134" s="10" t="s">
        <v>422</v>
      </c>
      <c r="C134" s="10" t="s">
        <v>210</v>
      </c>
      <c r="D134" s="10" t="s">
        <v>201</v>
      </c>
      <c r="E134" s="10" t="s">
        <v>270</v>
      </c>
      <c r="F134" s="10" t="s">
        <v>83</v>
      </c>
      <c r="G134" s="10" t="s">
        <v>199</v>
      </c>
      <c r="H134" s="10" t="s">
        <v>476</v>
      </c>
      <c r="I134" s="11" t="str">
        <f aca="false">IF(F134="",E134,E134&amp;"-"&amp;F134&amp;G134&amp;"-"&amp;H134)</f>
        <v>08B11-SFA-3T</v>
      </c>
      <c r="J134" s="10" t="s">
        <v>568</v>
      </c>
      <c r="K134" s="10"/>
      <c r="L134" s="10"/>
    </row>
    <row r="135" customFormat="false" ht="15" hidden="false" customHeight="false" outlineLevel="0" collapsed="false">
      <c r="A135" s="10" t="s">
        <v>576</v>
      </c>
      <c r="B135" s="10" t="s">
        <v>413</v>
      </c>
      <c r="C135" s="10" t="s">
        <v>210</v>
      </c>
      <c r="D135" s="10" t="s">
        <v>201</v>
      </c>
      <c r="E135" s="10" t="s">
        <v>270</v>
      </c>
      <c r="F135" s="10" t="s">
        <v>72</v>
      </c>
      <c r="G135" s="10" t="s">
        <v>415</v>
      </c>
      <c r="H135" s="10" t="s">
        <v>185</v>
      </c>
      <c r="I135" s="11" t="str">
        <f aca="false">IF(F135="",E135,E135&amp;"-"&amp;F135&amp;G135&amp;"-"&amp;H135)</f>
        <v>08B11-HBW-01</v>
      </c>
      <c r="J135" s="10" t="s">
        <v>568</v>
      </c>
      <c r="K135" s="10"/>
      <c r="L135" s="10"/>
    </row>
    <row r="136" customFormat="false" ht="15" hidden="false" customHeight="false" outlineLevel="0" collapsed="false">
      <c r="A136" s="10" t="s">
        <v>577</v>
      </c>
      <c r="B136" s="10" t="s">
        <v>413</v>
      </c>
      <c r="C136" s="10" t="s">
        <v>210</v>
      </c>
      <c r="D136" s="10" t="s">
        <v>201</v>
      </c>
      <c r="E136" s="10" t="s">
        <v>270</v>
      </c>
      <c r="F136" s="10" t="s">
        <v>72</v>
      </c>
      <c r="G136" s="10" t="s">
        <v>419</v>
      </c>
      <c r="H136" s="10" t="s">
        <v>185</v>
      </c>
      <c r="I136" s="11" t="str">
        <f aca="false">IF(F136="",E136,E136&amp;"-"&amp;F136&amp;G136&amp;"-"&amp;H136)</f>
        <v>08B11-HBP-01</v>
      </c>
      <c r="J136" s="10" t="s">
        <v>568</v>
      </c>
      <c r="K136" s="10"/>
      <c r="L136" s="10"/>
    </row>
    <row r="137" customFormat="false" ht="15" hidden="false" customHeight="false" outlineLevel="0" collapsed="false">
      <c r="A137" s="10" t="s">
        <v>578</v>
      </c>
      <c r="B137" s="10" t="s">
        <v>413</v>
      </c>
      <c r="C137" s="10" t="s">
        <v>210</v>
      </c>
      <c r="D137" s="10" t="s">
        <v>201</v>
      </c>
      <c r="E137" s="10" t="s">
        <v>270</v>
      </c>
      <c r="F137" s="10" t="s">
        <v>72</v>
      </c>
      <c r="G137" s="10" t="s">
        <v>419</v>
      </c>
      <c r="H137" s="10" t="s">
        <v>187</v>
      </c>
      <c r="I137" s="11" t="str">
        <f aca="false">IF(F137="",E137,E137&amp;"-"&amp;F137&amp;G137&amp;"-"&amp;H137)</f>
        <v>08B11-HBP-02</v>
      </c>
      <c r="J137" s="10" t="s">
        <v>568</v>
      </c>
      <c r="K137" s="10"/>
      <c r="L137" s="10"/>
    </row>
    <row r="138" customFormat="false" ht="15" hidden="false" customHeight="false" outlineLevel="0" collapsed="false">
      <c r="A138" s="10" t="s">
        <v>379</v>
      </c>
      <c r="B138" s="10" t="s">
        <v>422</v>
      </c>
      <c r="C138" s="10" t="s">
        <v>179</v>
      </c>
      <c r="D138" s="10" t="s">
        <v>414</v>
      </c>
      <c r="E138" s="10" t="s">
        <v>239</v>
      </c>
      <c r="F138" s="10" t="s">
        <v>83</v>
      </c>
      <c r="G138" s="10" t="s">
        <v>199</v>
      </c>
      <c r="H138" s="10" t="s">
        <v>185</v>
      </c>
      <c r="I138" s="11" t="str">
        <f aca="false">IF(F138="",E138,E138&amp;"-"&amp;F138&amp;G138&amp;"-"&amp;H138)</f>
        <v>08Z04-SFA-01</v>
      </c>
      <c r="J138" s="10" t="s">
        <v>454</v>
      </c>
      <c r="K138" s="10" t="s">
        <v>455</v>
      </c>
      <c r="L138" s="10"/>
    </row>
    <row r="139" customFormat="false" ht="15" hidden="false" customHeight="false" outlineLevel="0" collapsed="false">
      <c r="A139" s="10" t="s">
        <v>579</v>
      </c>
      <c r="B139" s="10" t="s">
        <v>422</v>
      </c>
      <c r="C139" s="10" t="s">
        <v>179</v>
      </c>
      <c r="D139" s="10" t="s">
        <v>414</v>
      </c>
      <c r="E139" s="10" t="s">
        <v>239</v>
      </c>
      <c r="F139" s="10" t="s">
        <v>83</v>
      </c>
      <c r="G139" s="10" t="s">
        <v>199</v>
      </c>
      <c r="H139" s="10" t="s">
        <v>187</v>
      </c>
      <c r="I139" s="11" t="str">
        <f aca="false">IF(F139="",E139,E139&amp;"-"&amp;F139&amp;G139&amp;"-"&amp;H139)</f>
        <v>08Z04-SFA-02</v>
      </c>
      <c r="J139" s="10" t="s">
        <v>454</v>
      </c>
      <c r="K139" s="10" t="s">
        <v>455</v>
      </c>
      <c r="L139" s="10"/>
    </row>
    <row r="140" customFormat="false" ht="15" hidden="false" customHeight="false" outlineLevel="0" collapsed="false">
      <c r="A140" s="10" t="s">
        <v>580</v>
      </c>
      <c r="B140" s="10" t="s">
        <v>422</v>
      </c>
      <c r="C140" s="10" t="s">
        <v>179</v>
      </c>
      <c r="D140" s="10" t="s">
        <v>414</v>
      </c>
      <c r="E140" s="10" t="s">
        <v>239</v>
      </c>
      <c r="F140" s="10" t="s">
        <v>83</v>
      </c>
      <c r="G140" s="10" t="s">
        <v>199</v>
      </c>
      <c r="H140" s="10" t="s">
        <v>189</v>
      </c>
      <c r="I140" s="11" t="str">
        <f aca="false">IF(F140="",E140,E140&amp;"-"&amp;F140&amp;G140&amp;"-"&amp;H140)</f>
        <v>08Z04-SFA-03</v>
      </c>
      <c r="J140" s="10" t="s">
        <v>454</v>
      </c>
      <c r="K140" s="10" t="s">
        <v>455</v>
      </c>
      <c r="L140" s="10"/>
    </row>
    <row r="141" customFormat="false" ht="15" hidden="false" customHeight="false" outlineLevel="0" collapsed="false">
      <c r="A141" s="10" t="s">
        <v>581</v>
      </c>
      <c r="B141" s="10" t="s">
        <v>422</v>
      </c>
      <c r="C141" s="10" t="s">
        <v>183</v>
      </c>
      <c r="D141" s="10" t="s">
        <v>414</v>
      </c>
      <c r="E141" s="10" t="s">
        <v>261</v>
      </c>
      <c r="F141" s="10"/>
      <c r="G141" s="10"/>
      <c r="H141" s="10"/>
      <c r="I141" s="11" t="s">
        <v>261</v>
      </c>
      <c r="J141" s="10" t="s">
        <v>513</v>
      </c>
      <c r="K141" s="10" t="s">
        <v>452</v>
      </c>
      <c r="L141" s="10"/>
    </row>
    <row r="142" customFormat="false" ht="15" hidden="false" customHeight="false" outlineLevel="0" collapsed="false">
      <c r="A142" s="10" t="s">
        <v>263</v>
      </c>
      <c r="B142" s="10" t="s">
        <v>422</v>
      </c>
      <c r="C142" s="10" t="s">
        <v>183</v>
      </c>
      <c r="D142" s="10" t="s">
        <v>414</v>
      </c>
      <c r="E142" s="10" t="s">
        <v>261</v>
      </c>
      <c r="F142" s="10"/>
      <c r="G142" s="10"/>
      <c r="H142" s="10"/>
      <c r="I142" s="11" t="s">
        <v>261</v>
      </c>
      <c r="J142" s="10" t="s">
        <v>513</v>
      </c>
      <c r="K142" s="10" t="s">
        <v>452</v>
      </c>
      <c r="L142" s="10"/>
    </row>
    <row r="143" customFormat="false" ht="15" hidden="false" customHeight="false" outlineLevel="0" collapsed="false">
      <c r="A143" s="10" t="s">
        <v>582</v>
      </c>
      <c r="B143" s="10" t="s">
        <v>422</v>
      </c>
      <c r="C143" s="10" t="s">
        <v>183</v>
      </c>
      <c r="D143" s="10" t="s">
        <v>414</v>
      </c>
      <c r="E143" s="10" t="s">
        <v>261</v>
      </c>
      <c r="F143" s="10"/>
      <c r="G143" s="10"/>
      <c r="H143" s="10"/>
      <c r="I143" s="11" t="s">
        <v>261</v>
      </c>
      <c r="J143" s="10" t="s">
        <v>416</v>
      </c>
      <c r="K143" s="10" t="s">
        <v>452</v>
      </c>
      <c r="L143" s="10"/>
    </row>
    <row r="144" customFormat="false" ht="15" hidden="false" customHeight="false" outlineLevel="0" collapsed="false">
      <c r="A144" s="10" t="s">
        <v>202</v>
      </c>
      <c r="B144" s="10" t="s">
        <v>422</v>
      </c>
      <c r="C144" s="10" t="s">
        <v>179</v>
      </c>
      <c r="D144" s="10" t="s">
        <v>203</v>
      </c>
      <c r="E144" s="10" t="s">
        <v>236</v>
      </c>
      <c r="F144" s="10"/>
      <c r="G144" s="10"/>
      <c r="H144" s="10"/>
      <c r="I144" s="11" t="s">
        <v>236</v>
      </c>
      <c r="J144" s="10" t="s">
        <v>451</v>
      </c>
      <c r="K144" s="10" t="s">
        <v>452</v>
      </c>
      <c r="L144" s="10"/>
    </row>
    <row r="145" customFormat="false" ht="15" hidden="false" customHeight="false" outlineLevel="0" collapsed="false">
      <c r="A145" s="10" t="s">
        <v>583</v>
      </c>
      <c r="B145" s="10" t="s">
        <v>422</v>
      </c>
      <c r="C145" s="10" t="s">
        <v>179</v>
      </c>
      <c r="D145" s="10" t="s">
        <v>203</v>
      </c>
      <c r="E145" s="10" t="s">
        <v>236</v>
      </c>
      <c r="F145" s="10" t="s">
        <v>83</v>
      </c>
      <c r="G145" s="10" t="s">
        <v>199</v>
      </c>
      <c r="H145" s="10" t="s">
        <v>185</v>
      </c>
      <c r="I145" s="11" t="str">
        <f aca="false">IF(F145="",E145,E145&amp;"-"&amp;F145&amp;G145&amp;"-"&amp;H145)</f>
        <v>08C04-SFA-01</v>
      </c>
      <c r="J145" s="10" t="s">
        <v>454</v>
      </c>
      <c r="K145" s="10" t="s">
        <v>455</v>
      </c>
      <c r="L145" s="10"/>
    </row>
    <row r="146" customFormat="false" ht="15" hidden="false" customHeight="false" outlineLevel="0" collapsed="false">
      <c r="A146" s="10" t="s">
        <v>584</v>
      </c>
      <c r="B146" s="10" t="s">
        <v>413</v>
      </c>
      <c r="C146" s="10" t="s">
        <v>179</v>
      </c>
      <c r="D146" s="10" t="s">
        <v>203</v>
      </c>
      <c r="E146" s="10" t="s">
        <v>236</v>
      </c>
      <c r="F146" s="10" t="s">
        <v>83</v>
      </c>
      <c r="G146" s="10" t="s">
        <v>419</v>
      </c>
      <c r="H146" s="10" t="s">
        <v>189</v>
      </c>
      <c r="I146" s="11" t="str">
        <f aca="false">IF(F146="",E146,E146&amp;"-"&amp;F146&amp;G146&amp;"-"&amp;H146)</f>
        <v>08C04-SFP-03</v>
      </c>
      <c r="J146" s="10" t="s">
        <v>435</v>
      </c>
      <c r="K146" s="10"/>
      <c r="L146" s="10"/>
    </row>
    <row r="147" customFormat="false" ht="15" hidden="false" customHeight="false" outlineLevel="0" collapsed="false">
      <c r="A147" s="10" t="s">
        <v>585</v>
      </c>
      <c r="B147" s="10" t="s">
        <v>422</v>
      </c>
      <c r="C147" s="10" t="s">
        <v>179</v>
      </c>
      <c r="D147" s="10" t="s">
        <v>203</v>
      </c>
      <c r="E147" s="10" t="s">
        <v>236</v>
      </c>
      <c r="F147" s="10" t="s">
        <v>78</v>
      </c>
      <c r="G147" s="10" t="s">
        <v>199</v>
      </c>
      <c r="H147" s="10" t="s">
        <v>187</v>
      </c>
      <c r="I147" s="11" t="str">
        <f aca="false">IF(F147="",E147,E147&amp;"-"&amp;F147&amp;G147&amp;"-"&amp;H147)</f>
        <v>08C04-KBA-02</v>
      </c>
      <c r="J147" s="10" t="s">
        <v>435</v>
      </c>
      <c r="K147" s="10" t="s">
        <v>431</v>
      </c>
      <c r="L147" s="10"/>
    </row>
    <row r="148" customFormat="false" ht="15" hidden="false" customHeight="false" outlineLevel="0" collapsed="false">
      <c r="A148" s="10" t="s">
        <v>586</v>
      </c>
      <c r="B148" s="10" t="s">
        <v>422</v>
      </c>
      <c r="C148" s="10" t="s">
        <v>179</v>
      </c>
      <c r="D148" s="10" t="s">
        <v>203</v>
      </c>
      <c r="E148" s="10" t="s">
        <v>236</v>
      </c>
      <c r="F148" s="10" t="s">
        <v>78</v>
      </c>
      <c r="G148" s="10" t="s">
        <v>199</v>
      </c>
      <c r="H148" s="10" t="s">
        <v>189</v>
      </c>
      <c r="I148" s="11" t="str">
        <f aca="false">IF(F148="",E148,E148&amp;"-"&amp;F148&amp;G148&amp;"-"&amp;H148)</f>
        <v>08C04-KBA-03</v>
      </c>
      <c r="J148" s="10" t="s">
        <v>435</v>
      </c>
      <c r="K148" s="10" t="s">
        <v>431</v>
      </c>
      <c r="L148" s="10"/>
    </row>
    <row r="149" customFormat="false" ht="15" hidden="false" customHeight="false" outlineLevel="0" collapsed="false">
      <c r="A149" s="10" t="s">
        <v>587</v>
      </c>
      <c r="B149" s="10" t="s">
        <v>422</v>
      </c>
      <c r="C149" s="10" t="s">
        <v>179</v>
      </c>
      <c r="D149" s="10" t="s">
        <v>203</v>
      </c>
      <c r="E149" s="10" t="s">
        <v>236</v>
      </c>
      <c r="F149" s="10" t="s">
        <v>78</v>
      </c>
      <c r="G149" s="10" t="s">
        <v>199</v>
      </c>
      <c r="H149" s="10" t="s">
        <v>179</v>
      </c>
      <c r="I149" s="11" t="str">
        <f aca="false">IF(F149="",E149,E149&amp;"-"&amp;F149&amp;G149&amp;"-"&amp;H149)</f>
        <v>08C04-KBA-04</v>
      </c>
      <c r="J149" s="10" t="s">
        <v>435</v>
      </c>
      <c r="K149" s="10" t="s">
        <v>431</v>
      </c>
      <c r="L149" s="10"/>
    </row>
    <row r="150" customFormat="false" ht="15" hidden="false" customHeight="false" outlineLevel="0" collapsed="false">
      <c r="A150" s="10" t="s">
        <v>588</v>
      </c>
      <c r="B150" s="10" t="s">
        <v>422</v>
      </c>
      <c r="C150" s="10" t="s">
        <v>179</v>
      </c>
      <c r="D150" s="10" t="s">
        <v>203</v>
      </c>
      <c r="E150" s="10" t="s">
        <v>236</v>
      </c>
      <c r="F150" s="10" t="s">
        <v>78</v>
      </c>
      <c r="G150" s="10" t="s">
        <v>199</v>
      </c>
      <c r="H150" s="10" t="s">
        <v>192</v>
      </c>
      <c r="I150" s="11" t="str">
        <f aca="false">IF(F150="",E150,E150&amp;"-"&amp;F150&amp;G150&amp;"-"&amp;H150)</f>
        <v>08C04-KBA-05</v>
      </c>
      <c r="J150" s="10" t="s">
        <v>435</v>
      </c>
      <c r="K150" s="10" t="s">
        <v>431</v>
      </c>
      <c r="L150" s="10"/>
    </row>
    <row r="151" customFormat="false" ht="15" hidden="false" customHeight="false" outlineLevel="0" collapsed="false">
      <c r="A151" s="10" t="s">
        <v>589</v>
      </c>
      <c r="B151" s="10" t="s">
        <v>422</v>
      </c>
      <c r="C151" s="10" t="s">
        <v>179</v>
      </c>
      <c r="D151" s="10" t="s">
        <v>203</v>
      </c>
      <c r="E151" s="10" t="s">
        <v>236</v>
      </c>
      <c r="F151" s="10" t="s">
        <v>78</v>
      </c>
      <c r="G151" s="10" t="s">
        <v>199</v>
      </c>
      <c r="H151" s="10" t="s">
        <v>181</v>
      </c>
      <c r="I151" s="11" t="str">
        <f aca="false">IF(F151="",E151,E151&amp;"-"&amp;F151&amp;G151&amp;"-"&amp;H151)</f>
        <v>08C04-KBA-06</v>
      </c>
      <c r="J151" s="10" t="s">
        <v>435</v>
      </c>
      <c r="K151" s="10" t="s">
        <v>431</v>
      </c>
      <c r="L151" s="10"/>
    </row>
    <row r="152" customFormat="false" ht="15" hidden="false" customHeight="false" outlineLevel="0" collapsed="false">
      <c r="A152" s="10" t="s">
        <v>590</v>
      </c>
      <c r="B152" s="10" t="s">
        <v>422</v>
      </c>
      <c r="C152" s="10" t="s">
        <v>179</v>
      </c>
      <c r="D152" s="10" t="s">
        <v>203</v>
      </c>
      <c r="E152" s="10" t="s">
        <v>236</v>
      </c>
      <c r="F152" s="10" t="s">
        <v>78</v>
      </c>
      <c r="G152" s="10" t="s">
        <v>199</v>
      </c>
      <c r="H152" s="10" t="s">
        <v>183</v>
      </c>
      <c r="I152" s="11" t="str">
        <f aca="false">IF(F152="",E152,E152&amp;"-"&amp;F152&amp;G152&amp;"-"&amp;H152)</f>
        <v>08C04-KBA-07</v>
      </c>
      <c r="J152" s="10" t="s">
        <v>435</v>
      </c>
      <c r="K152" s="10" t="s">
        <v>431</v>
      </c>
      <c r="L152" s="10"/>
    </row>
    <row r="153" customFormat="false" ht="15" hidden="false" customHeight="false" outlineLevel="0" collapsed="false">
      <c r="A153" s="10" t="s">
        <v>591</v>
      </c>
      <c r="B153" s="10" t="s">
        <v>422</v>
      </c>
      <c r="C153" s="10" t="s">
        <v>179</v>
      </c>
      <c r="D153" s="10" t="s">
        <v>203</v>
      </c>
      <c r="E153" s="10" t="s">
        <v>236</v>
      </c>
      <c r="F153" s="10" t="s">
        <v>83</v>
      </c>
      <c r="G153" s="10" t="s">
        <v>199</v>
      </c>
      <c r="H153" s="10" t="s">
        <v>378</v>
      </c>
      <c r="I153" s="11" t="str">
        <f aca="false">IF(F153="",E153,E153&amp;"-"&amp;F153&amp;G153&amp;"-"&amp;H153)</f>
        <v>08C04-SFA-1X</v>
      </c>
      <c r="J153" s="10" t="s">
        <v>435</v>
      </c>
      <c r="K153" s="10"/>
      <c r="L153" s="10"/>
    </row>
    <row r="154" customFormat="false" ht="15" hidden="false" customHeight="false" outlineLevel="0" collapsed="false">
      <c r="A154" s="10" t="s">
        <v>592</v>
      </c>
      <c r="B154" s="10" t="s">
        <v>422</v>
      </c>
      <c r="C154" s="10" t="s">
        <v>179</v>
      </c>
      <c r="D154" s="10" t="s">
        <v>203</v>
      </c>
      <c r="E154" s="10" t="s">
        <v>236</v>
      </c>
      <c r="F154" s="10" t="s">
        <v>83</v>
      </c>
      <c r="G154" s="10" t="s">
        <v>199</v>
      </c>
      <c r="H154" s="10" t="s">
        <v>468</v>
      </c>
      <c r="I154" s="11" t="str">
        <f aca="false">IF(F154="",E154,E154&amp;"-"&amp;F154&amp;G154&amp;"-"&amp;H154)</f>
        <v>08C04-SFA-2B</v>
      </c>
      <c r="J154" s="10" t="s">
        <v>435</v>
      </c>
      <c r="K154" s="10"/>
      <c r="L154" s="10"/>
    </row>
    <row r="155" customFormat="false" ht="15" hidden="false" customHeight="false" outlineLevel="0" collapsed="false">
      <c r="A155" s="10" t="s">
        <v>593</v>
      </c>
      <c r="B155" s="10" t="s">
        <v>422</v>
      </c>
      <c r="C155" s="10" t="s">
        <v>179</v>
      </c>
      <c r="D155" s="10" t="s">
        <v>203</v>
      </c>
      <c r="E155" s="10" t="s">
        <v>236</v>
      </c>
      <c r="F155" s="10" t="s">
        <v>83</v>
      </c>
      <c r="G155" s="10" t="s">
        <v>199</v>
      </c>
      <c r="H155" s="10" t="s">
        <v>470</v>
      </c>
      <c r="I155" s="11" t="str">
        <f aca="false">IF(F155="",E155,E155&amp;"-"&amp;F155&amp;G155&amp;"-"&amp;H155)</f>
        <v>08C04-SFA-2T</v>
      </c>
      <c r="J155" s="10" t="s">
        <v>435</v>
      </c>
      <c r="K155" s="10"/>
      <c r="L155" s="10"/>
    </row>
    <row r="156" customFormat="false" ht="15" hidden="false" customHeight="false" outlineLevel="0" collapsed="false">
      <c r="A156" s="10" t="s">
        <v>594</v>
      </c>
      <c r="B156" s="10" t="s">
        <v>422</v>
      </c>
      <c r="C156" s="10" t="s">
        <v>179</v>
      </c>
      <c r="D156" s="10" t="s">
        <v>203</v>
      </c>
      <c r="E156" s="10" t="s">
        <v>236</v>
      </c>
      <c r="F156" s="10" t="s">
        <v>83</v>
      </c>
      <c r="G156" s="10" t="s">
        <v>199</v>
      </c>
      <c r="H156" s="10" t="s">
        <v>474</v>
      </c>
      <c r="I156" s="11" t="str">
        <f aca="false">IF(F156="",E156,E156&amp;"-"&amp;F156&amp;G156&amp;"-"&amp;H156)</f>
        <v>08C04-SFA-3B</v>
      </c>
      <c r="J156" s="10" t="s">
        <v>435</v>
      </c>
      <c r="K156" s="10"/>
      <c r="L156" s="10"/>
    </row>
    <row r="157" customFormat="false" ht="15" hidden="false" customHeight="false" outlineLevel="0" collapsed="false">
      <c r="A157" s="10" t="s">
        <v>595</v>
      </c>
      <c r="B157" s="10" t="s">
        <v>422</v>
      </c>
      <c r="C157" s="10" t="s">
        <v>179</v>
      </c>
      <c r="D157" s="10" t="s">
        <v>203</v>
      </c>
      <c r="E157" s="10" t="s">
        <v>236</v>
      </c>
      <c r="F157" s="10" t="s">
        <v>83</v>
      </c>
      <c r="G157" s="10" t="s">
        <v>199</v>
      </c>
      <c r="H157" s="10" t="s">
        <v>476</v>
      </c>
      <c r="I157" s="11" t="str">
        <f aca="false">IF(F157="",E157,E157&amp;"-"&amp;F157&amp;G157&amp;"-"&amp;H157)</f>
        <v>08C04-SFA-3T</v>
      </c>
      <c r="J157" s="10" t="s">
        <v>435</v>
      </c>
      <c r="K157" s="10"/>
      <c r="L157" s="10"/>
    </row>
    <row r="158" customFormat="false" ht="15" hidden="false" customHeight="false" outlineLevel="0" collapsed="false">
      <c r="A158" s="10" t="s">
        <v>596</v>
      </c>
      <c r="B158" s="10" t="s">
        <v>422</v>
      </c>
      <c r="C158" s="10" t="s">
        <v>179</v>
      </c>
      <c r="D158" s="10" t="s">
        <v>203</v>
      </c>
      <c r="E158" s="10" t="s">
        <v>236</v>
      </c>
      <c r="F158" s="10" t="s">
        <v>83</v>
      </c>
      <c r="G158" s="10" t="s">
        <v>199</v>
      </c>
      <c r="H158" s="10" t="s">
        <v>478</v>
      </c>
      <c r="I158" s="11" t="str">
        <f aca="false">IF(F158="",E158,E158&amp;"-"&amp;F158&amp;G158&amp;"-"&amp;H158)</f>
        <v>08C04-SFA-4X</v>
      </c>
      <c r="J158" s="10" t="s">
        <v>435</v>
      </c>
      <c r="K158" s="10"/>
      <c r="L158" s="10"/>
    </row>
    <row r="159" customFormat="false" ht="15" hidden="false" customHeight="false" outlineLevel="0" collapsed="false">
      <c r="A159" s="10" t="s">
        <v>597</v>
      </c>
      <c r="B159" s="10" t="s">
        <v>422</v>
      </c>
      <c r="C159" s="10" t="s">
        <v>179</v>
      </c>
      <c r="D159" s="10" t="s">
        <v>203</v>
      </c>
      <c r="E159" s="10" t="s">
        <v>236</v>
      </c>
      <c r="F159" s="10" t="s">
        <v>83</v>
      </c>
      <c r="G159" s="10" t="s">
        <v>199</v>
      </c>
      <c r="H159" s="10" t="s">
        <v>480</v>
      </c>
      <c r="I159" s="11" t="str">
        <f aca="false">IF(F159="",E159,E159&amp;"-"&amp;F159&amp;G159&amp;"-"&amp;H159)</f>
        <v>08C04-SFA-5B</v>
      </c>
      <c r="J159" s="10" t="s">
        <v>435</v>
      </c>
      <c r="K159" s="10"/>
      <c r="L159" s="10"/>
    </row>
    <row r="160" customFormat="false" ht="15" hidden="false" customHeight="false" outlineLevel="0" collapsed="false">
      <c r="A160" s="10" t="s">
        <v>598</v>
      </c>
      <c r="B160" s="10" t="s">
        <v>422</v>
      </c>
      <c r="C160" s="10" t="s">
        <v>179</v>
      </c>
      <c r="D160" s="10" t="s">
        <v>203</v>
      </c>
      <c r="E160" s="10" t="s">
        <v>236</v>
      </c>
      <c r="F160" s="10" t="s">
        <v>83</v>
      </c>
      <c r="G160" s="10" t="s">
        <v>199</v>
      </c>
      <c r="H160" s="10" t="s">
        <v>482</v>
      </c>
      <c r="I160" s="11" t="str">
        <f aca="false">IF(F160="",E160,E160&amp;"-"&amp;F160&amp;G160&amp;"-"&amp;H160)</f>
        <v>08C04-SFA-5T</v>
      </c>
      <c r="J160" s="10" t="s">
        <v>435</v>
      </c>
      <c r="K160" s="10"/>
      <c r="L160" s="10"/>
    </row>
    <row r="161" customFormat="false" ht="15" hidden="false" customHeight="false" outlineLevel="0" collapsed="false">
      <c r="A161" s="10" t="s">
        <v>599</v>
      </c>
      <c r="B161" s="10" t="s">
        <v>422</v>
      </c>
      <c r="C161" s="10" t="s">
        <v>179</v>
      </c>
      <c r="D161" s="10" t="s">
        <v>203</v>
      </c>
      <c r="E161" s="10" t="s">
        <v>236</v>
      </c>
      <c r="F161" s="10"/>
      <c r="G161" s="10"/>
      <c r="H161" s="10"/>
      <c r="I161" s="11" t="s">
        <v>236</v>
      </c>
      <c r="J161" s="10" t="s">
        <v>435</v>
      </c>
      <c r="K161" s="10" t="s">
        <v>452</v>
      </c>
      <c r="L161" s="10"/>
    </row>
    <row r="162" customFormat="false" ht="15" hidden="false" customHeight="false" outlineLevel="0" collapsed="false">
      <c r="A162" s="10" t="s">
        <v>238</v>
      </c>
      <c r="B162" s="10" t="s">
        <v>422</v>
      </c>
      <c r="C162" s="10" t="s">
        <v>179</v>
      </c>
      <c r="D162" s="10" t="s">
        <v>203</v>
      </c>
      <c r="E162" s="10" t="s">
        <v>236</v>
      </c>
      <c r="F162" s="10"/>
      <c r="G162" s="10"/>
      <c r="H162" s="10"/>
      <c r="I162" s="11" t="s">
        <v>236</v>
      </c>
      <c r="J162" s="10" t="s">
        <v>451</v>
      </c>
      <c r="K162" s="10" t="s">
        <v>452</v>
      </c>
      <c r="L162" s="10"/>
    </row>
    <row r="163" customFormat="false" ht="15" hidden="false" customHeight="false" outlineLevel="0" collapsed="false">
      <c r="A163" s="10" t="s">
        <v>257</v>
      </c>
      <c r="B163" s="10" t="s">
        <v>422</v>
      </c>
      <c r="C163" s="10" t="s">
        <v>181</v>
      </c>
      <c r="D163" s="10" t="s">
        <v>203</v>
      </c>
      <c r="E163" s="10" t="s">
        <v>255</v>
      </c>
      <c r="F163" s="10"/>
      <c r="G163" s="10"/>
      <c r="H163" s="10"/>
      <c r="I163" s="11" t="s">
        <v>255</v>
      </c>
      <c r="J163" s="10" t="s">
        <v>600</v>
      </c>
      <c r="K163" s="10" t="s">
        <v>452</v>
      </c>
      <c r="L163" s="10"/>
    </row>
    <row r="164" customFormat="false" ht="15" hidden="false" customHeight="false" outlineLevel="0" collapsed="false">
      <c r="A164" s="10" t="s">
        <v>601</v>
      </c>
      <c r="B164" s="10" t="s">
        <v>413</v>
      </c>
      <c r="C164" s="10" t="s">
        <v>181</v>
      </c>
      <c r="D164" s="10" t="s">
        <v>203</v>
      </c>
      <c r="E164" s="10" t="s">
        <v>255</v>
      </c>
      <c r="F164" s="10" t="s">
        <v>83</v>
      </c>
      <c r="G164" s="10" t="s">
        <v>415</v>
      </c>
      <c r="H164" s="10" t="s">
        <v>185</v>
      </c>
      <c r="I164" s="11" t="str">
        <f aca="false">IF(F164="",E164,E164&amp;"-"&amp;F164&amp;G164&amp;"-"&amp;H164)</f>
        <v>08C06-SFW-01</v>
      </c>
      <c r="J164" s="10" t="s">
        <v>600</v>
      </c>
      <c r="K164" s="10"/>
      <c r="L164" s="10"/>
    </row>
    <row r="165" customFormat="false" ht="15" hidden="false" customHeight="false" outlineLevel="0" collapsed="false">
      <c r="A165" s="10" t="s">
        <v>602</v>
      </c>
      <c r="B165" s="10" t="s">
        <v>422</v>
      </c>
      <c r="C165" s="10" t="s">
        <v>181</v>
      </c>
      <c r="D165" s="10" t="s">
        <v>203</v>
      </c>
      <c r="E165" s="10" t="s">
        <v>255</v>
      </c>
      <c r="F165" s="10" t="s">
        <v>83</v>
      </c>
      <c r="G165" s="10" t="s">
        <v>199</v>
      </c>
      <c r="H165" s="10" t="s">
        <v>361</v>
      </c>
      <c r="I165" s="11" t="str">
        <f aca="false">IF(F165="",E165,E165&amp;"-"&amp;F165&amp;G165&amp;"-"&amp;H165)</f>
        <v>08C06-SFA-1B</v>
      </c>
      <c r="J165" s="10" t="s">
        <v>600</v>
      </c>
      <c r="K165" s="10"/>
      <c r="L165" s="10"/>
    </row>
    <row r="166" customFormat="false" ht="15" hidden="false" customHeight="false" outlineLevel="0" collapsed="false">
      <c r="A166" s="10" t="s">
        <v>603</v>
      </c>
      <c r="B166" s="10" t="s">
        <v>422</v>
      </c>
      <c r="C166" s="10" t="s">
        <v>181</v>
      </c>
      <c r="D166" s="10" t="s">
        <v>203</v>
      </c>
      <c r="E166" s="10" t="s">
        <v>255</v>
      </c>
      <c r="F166" s="10" t="s">
        <v>83</v>
      </c>
      <c r="G166" s="10" t="s">
        <v>199</v>
      </c>
      <c r="H166" s="10" t="s">
        <v>356</v>
      </c>
      <c r="I166" s="11" t="str">
        <f aca="false">IF(F166="",E166,E166&amp;"-"&amp;F166&amp;G166&amp;"-"&amp;H166)</f>
        <v>08C06-SFA-1T</v>
      </c>
      <c r="J166" s="10" t="s">
        <v>600</v>
      </c>
      <c r="K166" s="10"/>
      <c r="L166" s="10"/>
    </row>
    <row r="167" customFormat="false" ht="15" hidden="false" customHeight="false" outlineLevel="0" collapsed="false">
      <c r="A167" s="10" t="s">
        <v>604</v>
      </c>
      <c r="B167" s="10" t="s">
        <v>422</v>
      </c>
      <c r="C167" s="10" t="s">
        <v>181</v>
      </c>
      <c r="D167" s="10" t="s">
        <v>203</v>
      </c>
      <c r="E167" s="10" t="s">
        <v>255</v>
      </c>
      <c r="F167" s="10" t="s">
        <v>83</v>
      </c>
      <c r="G167" s="10" t="s">
        <v>199</v>
      </c>
      <c r="H167" s="10" t="s">
        <v>470</v>
      </c>
      <c r="I167" s="11" t="str">
        <f aca="false">IF(F167="",E167,E167&amp;"-"&amp;F167&amp;G167&amp;"-"&amp;H167)</f>
        <v>08C06-SFA-2T</v>
      </c>
      <c r="J167" s="10" t="s">
        <v>600</v>
      </c>
      <c r="K167" s="10"/>
      <c r="L167" s="10"/>
    </row>
    <row r="168" customFormat="false" ht="15" hidden="false" customHeight="false" outlineLevel="0" collapsed="false">
      <c r="A168" s="10" t="s">
        <v>605</v>
      </c>
      <c r="B168" s="10" t="s">
        <v>422</v>
      </c>
      <c r="C168" s="10" t="s">
        <v>181</v>
      </c>
      <c r="D168" s="10" t="s">
        <v>203</v>
      </c>
      <c r="E168" s="10" t="s">
        <v>255</v>
      </c>
      <c r="F168" s="10" t="s">
        <v>83</v>
      </c>
      <c r="G168" s="10" t="s">
        <v>199</v>
      </c>
      <c r="H168" s="10" t="s">
        <v>476</v>
      </c>
      <c r="I168" s="11" t="str">
        <f aca="false">IF(F168="",E168,E168&amp;"-"&amp;F168&amp;G168&amp;"-"&amp;H168)</f>
        <v>08C06-SFA-3T</v>
      </c>
      <c r="J168" s="10" t="s">
        <v>600</v>
      </c>
      <c r="K168" s="10"/>
      <c r="L168" s="10"/>
    </row>
    <row r="169" customFormat="false" ht="15" hidden="false" customHeight="false" outlineLevel="0" collapsed="false">
      <c r="A169" s="10" t="s">
        <v>606</v>
      </c>
      <c r="B169" s="10" t="s">
        <v>422</v>
      </c>
      <c r="C169" s="10" t="s">
        <v>181</v>
      </c>
      <c r="D169" s="10" t="s">
        <v>203</v>
      </c>
      <c r="E169" s="10" t="s">
        <v>255</v>
      </c>
      <c r="F169" s="10" t="s">
        <v>83</v>
      </c>
      <c r="G169" s="10" t="s">
        <v>199</v>
      </c>
      <c r="H169" s="10" t="s">
        <v>496</v>
      </c>
      <c r="I169" s="11" t="str">
        <f aca="false">IF(F169="",E169,E169&amp;"-"&amp;F169&amp;G169&amp;"-"&amp;H169)</f>
        <v>08C06-SFA-4B</v>
      </c>
      <c r="J169" s="10" t="s">
        <v>600</v>
      </c>
      <c r="K169" s="10"/>
      <c r="L169" s="10"/>
    </row>
    <row r="170" customFormat="false" ht="15" hidden="false" customHeight="false" outlineLevel="0" collapsed="false">
      <c r="A170" s="10" t="s">
        <v>607</v>
      </c>
      <c r="B170" s="10" t="s">
        <v>422</v>
      </c>
      <c r="C170" s="10" t="s">
        <v>181</v>
      </c>
      <c r="D170" s="10" t="s">
        <v>203</v>
      </c>
      <c r="E170" s="10" t="s">
        <v>255</v>
      </c>
      <c r="F170" s="10" t="s">
        <v>83</v>
      </c>
      <c r="G170" s="10" t="s">
        <v>199</v>
      </c>
      <c r="H170" s="10" t="s">
        <v>498</v>
      </c>
      <c r="I170" s="11" t="str">
        <f aca="false">IF(F170="",E170,E170&amp;"-"&amp;F170&amp;G170&amp;"-"&amp;H170)</f>
        <v>08C06-SFA-4T</v>
      </c>
      <c r="J170" s="10" t="s">
        <v>600</v>
      </c>
      <c r="K170" s="10"/>
      <c r="L170" s="10"/>
    </row>
    <row r="171" customFormat="false" ht="15" hidden="false" customHeight="false" outlineLevel="0" collapsed="false">
      <c r="A171" s="10" t="s">
        <v>608</v>
      </c>
      <c r="B171" s="10" t="s">
        <v>422</v>
      </c>
      <c r="C171" s="10" t="s">
        <v>181</v>
      </c>
      <c r="D171" s="10" t="s">
        <v>203</v>
      </c>
      <c r="E171" s="10" t="s">
        <v>255</v>
      </c>
      <c r="F171" s="10" t="s">
        <v>83</v>
      </c>
      <c r="G171" s="10" t="s">
        <v>199</v>
      </c>
      <c r="H171" s="10" t="s">
        <v>480</v>
      </c>
      <c r="I171" s="11" t="str">
        <f aca="false">IF(F171="",E171,E171&amp;"-"&amp;F171&amp;G171&amp;"-"&amp;H171)</f>
        <v>08C06-SFA-5B</v>
      </c>
      <c r="J171" s="10" t="s">
        <v>600</v>
      </c>
      <c r="K171" s="10"/>
      <c r="L171" s="10"/>
    </row>
    <row r="172" customFormat="false" ht="15" hidden="false" customHeight="false" outlineLevel="0" collapsed="false">
      <c r="A172" s="10" t="s">
        <v>609</v>
      </c>
      <c r="B172" s="10" t="s">
        <v>422</v>
      </c>
      <c r="C172" s="10" t="s">
        <v>181</v>
      </c>
      <c r="D172" s="10" t="s">
        <v>203</v>
      </c>
      <c r="E172" s="10" t="s">
        <v>255</v>
      </c>
      <c r="F172" s="10" t="s">
        <v>72</v>
      </c>
      <c r="G172" s="10" t="s">
        <v>199</v>
      </c>
      <c r="H172" s="10" t="s">
        <v>185</v>
      </c>
      <c r="I172" s="11" t="str">
        <f aca="false">IF(F172="",E172,E172&amp;"-"&amp;F172&amp;G172&amp;"-"&amp;H172)</f>
        <v>08C06-HBA-01</v>
      </c>
      <c r="J172" s="10" t="s">
        <v>600</v>
      </c>
      <c r="K172" s="10"/>
      <c r="L172" s="10"/>
    </row>
    <row r="173" customFormat="false" ht="15" hidden="false" customHeight="false" outlineLevel="0" collapsed="false">
      <c r="A173" s="10" t="s">
        <v>610</v>
      </c>
      <c r="B173" s="10" t="s">
        <v>413</v>
      </c>
      <c r="C173" s="10" t="s">
        <v>181</v>
      </c>
      <c r="D173" s="10" t="s">
        <v>203</v>
      </c>
      <c r="E173" s="10" t="s">
        <v>255</v>
      </c>
      <c r="F173" s="10" t="s">
        <v>72</v>
      </c>
      <c r="G173" s="10" t="s">
        <v>415</v>
      </c>
      <c r="H173" s="10" t="s">
        <v>185</v>
      </c>
      <c r="I173" s="11" t="str">
        <f aca="false">IF(F173="",E173,E173&amp;"-"&amp;F173&amp;G173&amp;"-"&amp;H173)</f>
        <v>08C06-HBW-01</v>
      </c>
      <c r="J173" s="10" t="s">
        <v>600</v>
      </c>
      <c r="K173" s="10"/>
      <c r="L173" s="10"/>
    </row>
    <row r="174" customFormat="false" ht="15" hidden="false" customHeight="false" outlineLevel="0" collapsed="false">
      <c r="A174" s="10" t="s">
        <v>611</v>
      </c>
      <c r="B174" s="10" t="s">
        <v>422</v>
      </c>
      <c r="C174" s="10" t="s">
        <v>181</v>
      </c>
      <c r="D174" s="10" t="s">
        <v>203</v>
      </c>
      <c r="E174" s="10" t="s">
        <v>255</v>
      </c>
      <c r="F174" s="10" t="s">
        <v>72</v>
      </c>
      <c r="G174" s="10" t="s">
        <v>199</v>
      </c>
      <c r="H174" s="10" t="s">
        <v>187</v>
      </c>
      <c r="I174" s="11" t="str">
        <f aca="false">IF(F174="",E174,E174&amp;"-"&amp;F174&amp;G174&amp;"-"&amp;H174)</f>
        <v>08C06-HBA-02</v>
      </c>
      <c r="J174" s="10" t="s">
        <v>600</v>
      </c>
      <c r="K174" s="10"/>
      <c r="L174" s="10"/>
    </row>
    <row r="175" customFormat="false" ht="15" hidden="false" customHeight="false" outlineLevel="0" collapsed="false">
      <c r="A175" s="10" t="s">
        <v>612</v>
      </c>
      <c r="B175" s="10" t="s">
        <v>413</v>
      </c>
      <c r="C175" s="10" t="s">
        <v>181</v>
      </c>
      <c r="D175" s="10" t="s">
        <v>203</v>
      </c>
      <c r="E175" s="10" t="s">
        <v>255</v>
      </c>
      <c r="F175" s="10" t="s">
        <v>72</v>
      </c>
      <c r="G175" s="10" t="s">
        <v>415</v>
      </c>
      <c r="H175" s="10" t="s">
        <v>187</v>
      </c>
      <c r="I175" s="11" t="str">
        <f aca="false">IF(F175="",E175,E175&amp;"-"&amp;F175&amp;G175&amp;"-"&amp;H175)</f>
        <v>08C06-HBW-02</v>
      </c>
      <c r="J175" s="10" t="s">
        <v>600</v>
      </c>
      <c r="K175" s="10"/>
      <c r="L175" s="10"/>
    </row>
    <row r="176" customFormat="false" ht="15" hidden="false" customHeight="false" outlineLevel="0" collapsed="false">
      <c r="A176" s="10" t="s">
        <v>613</v>
      </c>
      <c r="B176" s="10" t="s">
        <v>422</v>
      </c>
      <c r="C176" s="10" t="s">
        <v>181</v>
      </c>
      <c r="D176" s="10" t="s">
        <v>203</v>
      </c>
      <c r="E176" s="10" t="s">
        <v>255</v>
      </c>
      <c r="F176" s="10" t="s">
        <v>72</v>
      </c>
      <c r="G176" s="10" t="s">
        <v>199</v>
      </c>
      <c r="H176" s="10" t="s">
        <v>189</v>
      </c>
      <c r="I176" s="11" t="str">
        <f aca="false">IF(F176="",E176,E176&amp;"-"&amp;F176&amp;G176&amp;"-"&amp;H176)</f>
        <v>08C06-HBA-03</v>
      </c>
      <c r="J176" s="10" t="s">
        <v>600</v>
      </c>
      <c r="K176" s="10"/>
      <c r="L176" s="10"/>
    </row>
    <row r="177" customFormat="false" ht="15" hidden="false" customHeight="false" outlineLevel="0" collapsed="false">
      <c r="A177" s="10" t="s">
        <v>614</v>
      </c>
      <c r="B177" s="10" t="s">
        <v>413</v>
      </c>
      <c r="C177" s="10" t="s">
        <v>181</v>
      </c>
      <c r="D177" s="10" t="s">
        <v>203</v>
      </c>
      <c r="E177" s="10" t="s">
        <v>255</v>
      </c>
      <c r="F177" s="10" t="s">
        <v>72</v>
      </c>
      <c r="G177" s="10" t="s">
        <v>415</v>
      </c>
      <c r="H177" s="10" t="s">
        <v>189</v>
      </c>
      <c r="I177" s="11" t="str">
        <f aca="false">IF(F177="",E177,E177&amp;"-"&amp;F177&amp;G177&amp;"-"&amp;H177)</f>
        <v>08C06-HBW-03</v>
      </c>
      <c r="J177" s="10" t="s">
        <v>600</v>
      </c>
      <c r="K177" s="10"/>
      <c r="L177" s="10"/>
    </row>
    <row r="178" customFormat="false" ht="15" hidden="false" customHeight="false" outlineLevel="0" collapsed="false">
      <c r="A178" s="10" t="s">
        <v>276</v>
      </c>
      <c r="B178" s="10" t="s">
        <v>422</v>
      </c>
      <c r="C178" s="10" t="s">
        <v>210</v>
      </c>
      <c r="D178" s="10" t="s">
        <v>203</v>
      </c>
      <c r="E178" s="10" t="s">
        <v>274</v>
      </c>
      <c r="F178" s="10"/>
      <c r="G178" s="10"/>
      <c r="H178" s="10"/>
      <c r="I178" s="11" t="s">
        <v>274</v>
      </c>
      <c r="J178" s="10" t="s">
        <v>514</v>
      </c>
      <c r="K178" s="10" t="s">
        <v>452</v>
      </c>
      <c r="L178" s="10"/>
    </row>
    <row r="179" customFormat="false" ht="15" hidden="false" customHeight="false" outlineLevel="0" collapsed="false">
      <c r="A179" s="10" t="s">
        <v>615</v>
      </c>
      <c r="B179" s="10" t="s">
        <v>422</v>
      </c>
      <c r="C179" s="10" t="s">
        <v>210</v>
      </c>
      <c r="D179" s="10" t="s">
        <v>203</v>
      </c>
      <c r="E179" s="10" t="s">
        <v>274</v>
      </c>
      <c r="F179" s="10" t="s">
        <v>72</v>
      </c>
      <c r="G179" s="10" t="s">
        <v>199</v>
      </c>
      <c r="H179" s="10" t="s">
        <v>185</v>
      </c>
      <c r="I179" s="11" t="str">
        <f aca="false">IF(F179="",E179,E179&amp;"-"&amp;F179&amp;G179&amp;"-"&amp;H179)</f>
        <v>08C11-HBA-01</v>
      </c>
      <c r="J179" s="10" t="s">
        <v>616</v>
      </c>
      <c r="K179" s="10"/>
      <c r="L179" s="10"/>
    </row>
    <row r="180" customFormat="false" ht="15" hidden="false" customHeight="false" outlineLevel="0" collapsed="false">
      <c r="A180" s="10" t="s">
        <v>617</v>
      </c>
      <c r="B180" s="10" t="s">
        <v>422</v>
      </c>
      <c r="C180" s="10" t="s">
        <v>210</v>
      </c>
      <c r="D180" s="10" t="s">
        <v>203</v>
      </c>
      <c r="E180" s="10" t="s">
        <v>274</v>
      </c>
      <c r="F180" s="10" t="s">
        <v>72</v>
      </c>
      <c r="G180" s="10" t="s">
        <v>199</v>
      </c>
      <c r="H180" s="10" t="s">
        <v>187</v>
      </c>
      <c r="I180" s="11" t="str">
        <f aca="false">IF(F180="",E180,E180&amp;"-"&amp;F180&amp;G180&amp;"-"&amp;H180)</f>
        <v>08C11-HBA-02</v>
      </c>
      <c r="J180" s="10" t="s">
        <v>616</v>
      </c>
      <c r="K180" s="10"/>
      <c r="L180" s="10"/>
    </row>
    <row r="181" customFormat="false" ht="15" hidden="false" customHeight="false" outlineLevel="0" collapsed="false">
      <c r="A181" s="10" t="s">
        <v>618</v>
      </c>
      <c r="B181" s="10" t="s">
        <v>422</v>
      </c>
      <c r="C181" s="10" t="s">
        <v>210</v>
      </c>
      <c r="D181" s="10" t="s">
        <v>203</v>
      </c>
      <c r="E181" s="10" t="s">
        <v>274</v>
      </c>
      <c r="F181" s="10" t="s">
        <v>72</v>
      </c>
      <c r="G181" s="10" t="s">
        <v>199</v>
      </c>
      <c r="H181" s="10" t="s">
        <v>189</v>
      </c>
      <c r="I181" s="11" t="str">
        <f aca="false">IF(F181="",E181,E181&amp;"-"&amp;F181&amp;G181&amp;"-"&amp;H181)</f>
        <v>08C11-HBA-03</v>
      </c>
      <c r="J181" s="10" t="s">
        <v>616</v>
      </c>
      <c r="K181" s="10"/>
      <c r="L181" s="10"/>
    </row>
    <row r="182" customFormat="false" ht="15" hidden="false" customHeight="false" outlineLevel="0" collapsed="false">
      <c r="A182" s="10" t="s">
        <v>619</v>
      </c>
      <c r="B182" s="10" t="s">
        <v>422</v>
      </c>
      <c r="C182" s="10" t="s">
        <v>210</v>
      </c>
      <c r="D182" s="10" t="s">
        <v>203</v>
      </c>
      <c r="E182" s="10" t="s">
        <v>274</v>
      </c>
      <c r="F182" s="10" t="s">
        <v>83</v>
      </c>
      <c r="G182" s="10" t="s">
        <v>199</v>
      </c>
      <c r="H182" s="10" t="s">
        <v>361</v>
      </c>
      <c r="I182" s="11" t="str">
        <f aca="false">IF(F182="",E182,E182&amp;"-"&amp;F182&amp;G182&amp;"-"&amp;H182)</f>
        <v>08C11-SFA-1B</v>
      </c>
      <c r="J182" s="10" t="s">
        <v>616</v>
      </c>
      <c r="K182" s="10"/>
      <c r="L182" s="10"/>
    </row>
    <row r="183" customFormat="false" ht="15" hidden="false" customHeight="false" outlineLevel="0" collapsed="false">
      <c r="A183" s="10" t="s">
        <v>620</v>
      </c>
      <c r="B183" s="10" t="s">
        <v>422</v>
      </c>
      <c r="C183" s="10" t="s">
        <v>210</v>
      </c>
      <c r="D183" s="10" t="s">
        <v>203</v>
      </c>
      <c r="E183" s="10" t="s">
        <v>274</v>
      </c>
      <c r="F183" s="10" t="s">
        <v>83</v>
      </c>
      <c r="G183" s="10" t="s">
        <v>199</v>
      </c>
      <c r="H183" s="10" t="s">
        <v>356</v>
      </c>
      <c r="I183" s="11" t="str">
        <f aca="false">IF(F183="",E183,E183&amp;"-"&amp;F183&amp;G183&amp;"-"&amp;H183)</f>
        <v>08C11-SFA-1T</v>
      </c>
      <c r="J183" s="10" t="s">
        <v>616</v>
      </c>
      <c r="K183" s="10"/>
      <c r="L183" s="10"/>
    </row>
    <row r="184" customFormat="false" ht="15" hidden="false" customHeight="false" outlineLevel="0" collapsed="false">
      <c r="A184" s="10" t="s">
        <v>621</v>
      </c>
      <c r="B184" s="10" t="s">
        <v>422</v>
      </c>
      <c r="C184" s="10" t="s">
        <v>210</v>
      </c>
      <c r="D184" s="10" t="s">
        <v>203</v>
      </c>
      <c r="E184" s="10" t="s">
        <v>274</v>
      </c>
      <c r="F184" s="10" t="s">
        <v>83</v>
      </c>
      <c r="G184" s="10" t="s">
        <v>199</v>
      </c>
      <c r="H184" s="10" t="s">
        <v>468</v>
      </c>
      <c r="I184" s="11" t="str">
        <f aca="false">IF(F184="",E184,E184&amp;"-"&amp;F184&amp;G184&amp;"-"&amp;H184)</f>
        <v>08C11-SFA-2B</v>
      </c>
      <c r="J184" s="10" t="s">
        <v>616</v>
      </c>
      <c r="K184" s="10"/>
      <c r="L184" s="10"/>
    </row>
    <row r="185" customFormat="false" ht="15" hidden="false" customHeight="false" outlineLevel="0" collapsed="false">
      <c r="A185" s="10" t="s">
        <v>622</v>
      </c>
      <c r="B185" s="10" t="s">
        <v>422</v>
      </c>
      <c r="C185" s="10" t="s">
        <v>210</v>
      </c>
      <c r="D185" s="10" t="s">
        <v>203</v>
      </c>
      <c r="E185" s="10" t="s">
        <v>274</v>
      </c>
      <c r="F185" s="10" t="s">
        <v>83</v>
      </c>
      <c r="G185" s="10" t="s">
        <v>199</v>
      </c>
      <c r="H185" s="10" t="s">
        <v>470</v>
      </c>
      <c r="I185" s="11" t="str">
        <f aca="false">IF(F185="",E185,E185&amp;"-"&amp;F185&amp;G185&amp;"-"&amp;H185)</f>
        <v>08C11-SFA-2T</v>
      </c>
      <c r="J185" s="10" t="s">
        <v>616</v>
      </c>
      <c r="K185" s="10"/>
      <c r="L185" s="10"/>
    </row>
    <row r="186" customFormat="false" ht="15" hidden="false" customHeight="false" outlineLevel="0" collapsed="false">
      <c r="A186" s="10" t="s">
        <v>623</v>
      </c>
      <c r="B186" s="10" t="s">
        <v>422</v>
      </c>
      <c r="C186" s="10" t="s">
        <v>210</v>
      </c>
      <c r="D186" s="10" t="s">
        <v>203</v>
      </c>
      <c r="E186" s="10" t="s">
        <v>274</v>
      </c>
      <c r="F186" s="10" t="s">
        <v>83</v>
      </c>
      <c r="G186" s="10" t="s">
        <v>199</v>
      </c>
      <c r="H186" s="10" t="s">
        <v>474</v>
      </c>
      <c r="I186" s="11" t="str">
        <f aca="false">IF(F186="",E186,E186&amp;"-"&amp;F186&amp;G186&amp;"-"&amp;H186)</f>
        <v>08C11-SFA-3B</v>
      </c>
      <c r="J186" s="10" t="s">
        <v>616</v>
      </c>
      <c r="K186" s="10"/>
      <c r="L186" s="10"/>
    </row>
    <row r="187" customFormat="false" ht="15" hidden="false" customHeight="false" outlineLevel="0" collapsed="false">
      <c r="A187" s="10" t="s">
        <v>624</v>
      </c>
      <c r="B187" s="10" t="s">
        <v>422</v>
      </c>
      <c r="C187" s="10" t="s">
        <v>210</v>
      </c>
      <c r="D187" s="10" t="s">
        <v>203</v>
      </c>
      <c r="E187" s="10" t="s">
        <v>274</v>
      </c>
      <c r="F187" s="10" t="s">
        <v>83</v>
      </c>
      <c r="G187" s="10" t="s">
        <v>199</v>
      </c>
      <c r="H187" s="10" t="s">
        <v>476</v>
      </c>
      <c r="I187" s="11" t="str">
        <f aca="false">IF(F187="",E187,E187&amp;"-"&amp;F187&amp;G187&amp;"-"&amp;H187)</f>
        <v>08C11-SFA-3T</v>
      </c>
      <c r="J187" s="10" t="s">
        <v>616</v>
      </c>
      <c r="K187" s="10"/>
      <c r="L187" s="10"/>
    </row>
    <row r="188" customFormat="false" ht="15" hidden="false" customHeight="false" outlineLevel="0" collapsed="false">
      <c r="A188" s="10" t="s">
        <v>625</v>
      </c>
      <c r="B188" s="10" t="s">
        <v>413</v>
      </c>
      <c r="C188" s="10" t="s">
        <v>210</v>
      </c>
      <c r="D188" s="10" t="s">
        <v>203</v>
      </c>
      <c r="E188" s="10" t="s">
        <v>274</v>
      </c>
      <c r="F188" s="10" t="s">
        <v>72</v>
      </c>
      <c r="G188" s="10" t="s">
        <v>415</v>
      </c>
      <c r="H188" s="10" t="s">
        <v>185</v>
      </c>
      <c r="I188" s="11" t="str">
        <f aca="false">IF(F188="",E188,E188&amp;"-"&amp;F188&amp;G188&amp;"-"&amp;H188)</f>
        <v>08C11-HBW-01</v>
      </c>
      <c r="J188" s="10" t="s">
        <v>616</v>
      </c>
      <c r="K188" s="10"/>
      <c r="L188" s="10"/>
    </row>
    <row r="189" customFormat="false" ht="15" hidden="false" customHeight="false" outlineLevel="0" collapsed="false">
      <c r="A189" s="10" t="s">
        <v>626</v>
      </c>
      <c r="B189" s="10" t="s">
        <v>413</v>
      </c>
      <c r="C189" s="10" t="s">
        <v>210</v>
      </c>
      <c r="D189" s="10" t="s">
        <v>203</v>
      </c>
      <c r="E189" s="10" t="s">
        <v>274</v>
      </c>
      <c r="F189" s="10" t="s">
        <v>72</v>
      </c>
      <c r="G189" s="10" t="s">
        <v>419</v>
      </c>
      <c r="H189" s="10" t="s">
        <v>185</v>
      </c>
      <c r="I189" s="11" t="str">
        <f aca="false">IF(F189="",E189,E189&amp;"-"&amp;F189&amp;G189&amp;"-"&amp;H189)</f>
        <v>08C11-HBP-01</v>
      </c>
      <c r="J189" s="10" t="s">
        <v>616</v>
      </c>
      <c r="K189" s="10"/>
      <c r="L189" s="10"/>
    </row>
    <row r="190" customFormat="false" ht="15" hidden="false" customHeight="false" outlineLevel="0" collapsed="false">
      <c r="A190" s="10" t="s">
        <v>627</v>
      </c>
      <c r="B190" s="10" t="s">
        <v>413</v>
      </c>
      <c r="C190" s="10" t="s">
        <v>210</v>
      </c>
      <c r="D190" s="10" t="s">
        <v>203</v>
      </c>
      <c r="E190" s="10" t="s">
        <v>274</v>
      </c>
      <c r="F190" s="10" t="s">
        <v>72</v>
      </c>
      <c r="G190" s="10" t="s">
        <v>419</v>
      </c>
      <c r="H190" s="10" t="s">
        <v>187</v>
      </c>
      <c r="I190" s="11" t="str">
        <f aca="false">IF(F190="",E190,E190&amp;"-"&amp;F190&amp;G190&amp;"-"&amp;H190)</f>
        <v>08C11-HBP-02</v>
      </c>
      <c r="J190" s="10" t="s">
        <v>616</v>
      </c>
      <c r="K190" s="10"/>
      <c r="L190" s="10"/>
    </row>
    <row r="191" customFormat="false" ht="23.85" hidden="false" customHeight="false" outlineLevel="0" collapsed="false">
      <c r="A191" s="10" t="s">
        <v>628</v>
      </c>
      <c r="B191" s="10" t="s">
        <v>413</v>
      </c>
      <c r="C191" s="10" t="s">
        <v>426</v>
      </c>
      <c r="D191" s="10" t="s">
        <v>426</v>
      </c>
      <c r="E191" s="10" t="s">
        <v>17</v>
      </c>
      <c r="F191" s="10"/>
      <c r="G191" s="10"/>
      <c r="H191" s="10"/>
      <c r="I191" s="11"/>
      <c r="J191" s="10" t="s">
        <v>427</v>
      </c>
      <c r="K191" s="10" t="s">
        <v>629</v>
      </c>
      <c r="L191" s="10"/>
    </row>
    <row r="192" customFormat="false" ht="23.85" hidden="false" customHeight="false" outlineLevel="0" collapsed="false">
      <c r="A192" s="10" t="s">
        <v>630</v>
      </c>
      <c r="B192" s="10" t="s">
        <v>413</v>
      </c>
      <c r="C192" s="10" t="s">
        <v>426</v>
      </c>
      <c r="D192" s="10" t="s">
        <v>426</v>
      </c>
      <c r="E192" s="10" t="s">
        <v>17</v>
      </c>
      <c r="F192" s="10"/>
      <c r="G192" s="10"/>
      <c r="H192" s="10"/>
      <c r="I192" s="11"/>
      <c r="J192" s="10" t="s">
        <v>427</v>
      </c>
      <c r="K192" s="10" t="s">
        <v>631</v>
      </c>
      <c r="L192" s="10"/>
    </row>
    <row r="193" customFormat="false" ht="15" hidden="false" customHeight="false" outlineLevel="0" collapsed="false">
      <c r="A193" s="10" t="s">
        <v>370</v>
      </c>
      <c r="B193" s="10" t="s">
        <v>413</v>
      </c>
      <c r="C193" s="10" t="s">
        <v>179</v>
      </c>
      <c r="D193" s="10" t="s">
        <v>437</v>
      </c>
      <c r="E193" s="10" t="s">
        <v>145</v>
      </c>
      <c r="F193" s="10" t="s">
        <v>99</v>
      </c>
      <c r="G193" s="10" t="s">
        <v>419</v>
      </c>
      <c r="H193" s="10" t="s">
        <v>185</v>
      </c>
      <c r="I193" s="11" t="str">
        <f aca="false">IF(F193="",E193,E193&amp;"-"&amp;F193&amp;G193&amp;"-"&amp;H193)</f>
        <v>08X04-PLP-01</v>
      </c>
      <c r="J193" s="10" t="s">
        <v>472</v>
      </c>
      <c r="K193" s="10"/>
      <c r="L193" s="10"/>
    </row>
    <row r="194" customFormat="false" ht="15" hidden="false" customHeight="false" outlineLevel="0" collapsed="false">
      <c r="A194" s="10" t="s">
        <v>632</v>
      </c>
      <c r="B194" s="10" t="s">
        <v>413</v>
      </c>
      <c r="C194" s="10" t="s">
        <v>179</v>
      </c>
      <c r="D194" s="10" t="s">
        <v>437</v>
      </c>
      <c r="E194" s="10" t="s">
        <v>145</v>
      </c>
      <c r="F194" s="10" t="s">
        <v>99</v>
      </c>
      <c r="G194" s="10" t="s">
        <v>419</v>
      </c>
      <c r="H194" s="10" t="s">
        <v>187</v>
      </c>
      <c r="I194" s="11" t="str">
        <f aca="false">IF(F194="",E194,E194&amp;"-"&amp;F194&amp;G194&amp;"-"&amp;H194)</f>
        <v>08X04-PLP-02</v>
      </c>
      <c r="J194" s="10" t="s">
        <v>472</v>
      </c>
      <c r="K194" s="10"/>
      <c r="L194" s="10"/>
    </row>
    <row r="195" customFormat="false" ht="15" hidden="false" customHeight="false" outlineLevel="0" collapsed="false">
      <c r="A195" s="10" t="s">
        <v>633</v>
      </c>
      <c r="B195" s="10" t="s">
        <v>413</v>
      </c>
      <c r="C195" s="10" t="s">
        <v>179</v>
      </c>
      <c r="D195" s="10" t="s">
        <v>437</v>
      </c>
      <c r="E195" s="10" t="s">
        <v>145</v>
      </c>
      <c r="F195" s="10" t="s">
        <v>99</v>
      </c>
      <c r="G195" s="10" t="s">
        <v>419</v>
      </c>
      <c r="H195" s="10" t="s">
        <v>189</v>
      </c>
      <c r="I195" s="11" t="str">
        <f aca="false">IF(F195="",E195,E195&amp;"-"&amp;F195&amp;G195&amp;"-"&amp;H195)</f>
        <v>08X04-PLP-03</v>
      </c>
      <c r="J195" s="10" t="s">
        <v>472</v>
      </c>
      <c r="K195" s="10"/>
      <c r="L195" s="10"/>
    </row>
    <row r="196" customFormat="false" ht="15" hidden="false" customHeight="false" outlineLevel="0" collapsed="false">
      <c r="A196" s="10" t="s">
        <v>634</v>
      </c>
      <c r="B196" s="10" t="s">
        <v>422</v>
      </c>
      <c r="C196" s="10" t="s">
        <v>179</v>
      </c>
      <c r="D196" s="10" t="s">
        <v>437</v>
      </c>
      <c r="E196" s="10" t="s">
        <v>145</v>
      </c>
      <c r="F196" s="10" t="s">
        <v>115</v>
      </c>
      <c r="G196" s="10" t="s">
        <v>199</v>
      </c>
      <c r="H196" s="10" t="s">
        <v>185</v>
      </c>
      <c r="I196" s="11" t="str">
        <f aca="false">IF(F196="",E196,E196&amp;"-"&amp;F196&amp;G196&amp;"-"&amp;H196)</f>
        <v>08X04-BKA-01</v>
      </c>
      <c r="J196" s="10" t="s">
        <v>472</v>
      </c>
      <c r="K196" s="10"/>
      <c r="L196" s="10"/>
    </row>
    <row r="197" customFormat="false" ht="23.85" hidden="false" customHeight="false" outlineLevel="0" collapsed="false">
      <c r="A197" s="10" t="s">
        <v>635</v>
      </c>
      <c r="B197" s="10" t="s">
        <v>413</v>
      </c>
      <c r="C197" s="10" t="s">
        <v>179</v>
      </c>
      <c r="D197" s="10" t="s">
        <v>437</v>
      </c>
      <c r="E197" s="10" t="s">
        <v>145</v>
      </c>
      <c r="F197" s="10" t="s">
        <v>99</v>
      </c>
      <c r="G197" s="10" t="s">
        <v>419</v>
      </c>
      <c r="H197" s="10" t="s">
        <v>179</v>
      </c>
      <c r="I197" s="11" t="str">
        <f aca="false">IF(F197="",E197,E197&amp;"-"&amp;F197&amp;G197&amp;"-"&amp;H197)</f>
        <v>08X04-PLP-04</v>
      </c>
      <c r="J197" s="10" t="s">
        <v>472</v>
      </c>
      <c r="K197" s="10"/>
      <c r="L197" s="10"/>
    </row>
    <row r="198" customFormat="false" ht="15" hidden="false" customHeight="false" outlineLevel="0" collapsed="false">
      <c r="A198" s="10" t="s">
        <v>636</v>
      </c>
      <c r="B198" s="10" t="s">
        <v>413</v>
      </c>
      <c r="C198" s="10" t="s">
        <v>179</v>
      </c>
      <c r="D198" s="10" t="s">
        <v>437</v>
      </c>
      <c r="E198" s="10" t="s">
        <v>145</v>
      </c>
      <c r="F198" s="10" t="s">
        <v>83</v>
      </c>
      <c r="G198" s="10" t="s">
        <v>419</v>
      </c>
      <c r="H198" s="10" t="s">
        <v>187</v>
      </c>
      <c r="I198" s="11" t="str">
        <f aca="false">IF(F198="",E198,E198&amp;"-"&amp;F198&amp;G198&amp;"-"&amp;H198)</f>
        <v>08X04-SFP-02</v>
      </c>
      <c r="J198" s="10" t="s">
        <v>472</v>
      </c>
      <c r="K198" s="10"/>
      <c r="L198" s="10"/>
    </row>
    <row r="199" customFormat="false" ht="15" hidden="false" customHeight="false" outlineLevel="0" collapsed="false">
      <c r="A199" s="10" t="s">
        <v>637</v>
      </c>
      <c r="B199" s="10" t="s">
        <v>413</v>
      </c>
      <c r="C199" s="10" t="s">
        <v>179</v>
      </c>
      <c r="D199" s="10" t="s">
        <v>437</v>
      </c>
      <c r="E199" s="10" t="s">
        <v>145</v>
      </c>
      <c r="F199" s="10" t="s">
        <v>83</v>
      </c>
      <c r="G199" s="10" t="s">
        <v>419</v>
      </c>
      <c r="H199" s="10" t="s">
        <v>189</v>
      </c>
      <c r="I199" s="11" t="str">
        <f aca="false">IF(F199="",E199,E199&amp;"-"&amp;F199&amp;G199&amp;"-"&amp;H199)</f>
        <v>08X04-SFP-03</v>
      </c>
      <c r="J199" s="10" t="s">
        <v>472</v>
      </c>
      <c r="K199" s="10"/>
      <c r="L199" s="10"/>
    </row>
    <row r="200" customFormat="false" ht="15" hidden="false" customHeight="false" outlineLevel="0" collapsed="false">
      <c r="A200" s="10" t="s">
        <v>638</v>
      </c>
      <c r="B200" s="10" t="s">
        <v>413</v>
      </c>
      <c r="C200" s="10" t="s">
        <v>179</v>
      </c>
      <c r="D200" s="10" t="s">
        <v>203</v>
      </c>
      <c r="E200" s="10" t="s">
        <v>236</v>
      </c>
      <c r="F200" s="10" t="s">
        <v>83</v>
      </c>
      <c r="G200" s="10" t="s">
        <v>419</v>
      </c>
      <c r="H200" s="10" t="s">
        <v>179</v>
      </c>
      <c r="I200" s="11" t="str">
        <f aca="false">IF(F200="",E200,E200&amp;"-"&amp;F200&amp;G200&amp;"-"&amp;H200)</f>
        <v>08C04-SFP-04</v>
      </c>
      <c r="J200" s="10" t="s">
        <v>472</v>
      </c>
      <c r="K200" s="10" t="s">
        <v>455</v>
      </c>
      <c r="L200" s="10"/>
    </row>
    <row r="201" customFormat="false" ht="15" hidden="false" customHeight="false" outlineLevel="0" collapsed="false">
      <c r="A201" s="10" t="s">
        <v>639</v>
      </c>
      <c r="B201" s="10" t="s">
        <v>413</v>
      </c>
      <c r="C201" s="10" t="s">
        <v>179</v>
      </c>
      <c r="D201" s="10" t="s">
        <v>437</v>
      </c>
      <c r="E201" s="10" t="s">
        <v>145</v>
      </c>
      <c r="F201" s="10" t="s">
        <v>83</v>
      </c>
      <c r="G201" s="10" t="s">
        <v>419</v>
      </c>
      <c r="H201" s="10" t="s">
        <v>179</v>
      </c>
      <c r="I201" s="11" t="str">
        <f aca="false">IF(F201="",E201,E201&amp;"-"&amp;F201&amp;G201&amp;"-"&amp;H201)</f>
        <v>08X04-SFP-04</v>
      </c>
      <c r="J201" s="10" t="s">
        <v>472</v>
      </c>
      <c r="K201" s="10"/>
      <c r="L201" s="10"/>
    </row>
    <row r="202" customFormat="false" ht="15" hidden="false" customHeight="false" outlineLevel="0" collapsed="false">
      <c r="A202" s="10" t="s">
        <v>640</v>
      </c>
      <c r="B202" s="10" t="s">
        <v>413</v>
      </c>
      <c r="C202" s="10" t="s">
        <v>179</v>
      </c>
      <c r="D202" s="10" t="s">
        <v>437</v>
      </c>
      <c r="E202" s="10" t="s">
        <v>145</v>
      </c>
      <c r="F202" s="10" t="s">
        <v>83</v>
      </c>
      <c r="G202" s="10" t="s">
        <v>419</v>
      </c>
      <c r="H202" s="10" t="s">
        <v>192</v>
      </c>
      <c r="I202" s="11" t="str">
        <f aca="false">IF(F202="",E202,E202&amp;"-"&amp;F202&amp;G202&amp;"-"&amp;H202)</f>
        <v>08X04-SFP-05</v>
      </c>
      <c r="J202" s="10" t="s">
        <v>472</v>
      </c>
      <c r="K202" s="10"/>
      <c r="L202" s="10"/>
    </row>
    <row r="203" customFormat="false" ht="15" hidden="false" customHeight="false" outlineLevel="0" collapsed="false">
      <c r="A203" s="10" t="s">
        <v>641</v>
      </c>
      <c r="B203" s="10" t="s">
        <v>413</v>
      </c>
      <c r="C203" s="10" t="s">
        <v>181</v>
      </c>
      <c r="D203" s="10" t="s">
        <v>437</v>
      </c>
      <c r="E203" s="10" t="s">
        <v>492</v>
      </c>
      <c r="F203" s="10" t="s">
        <v>109</v>
      </c>
      <c r="G203" s="10" t="s">
        <v>419</v>
      </c>
      <c r="H203" s="10" t="s">
        <v>185</v>
      </c>
      <c r="I203" s="11" t="str">
        <f aca="false">IF(F203="",E203,E203&amp;"-"&amp;F203&amp;G203&amp;"-"&amp;H203)</f>
        <v>08X06-DBP-01</v>
      </c>
      <c r="J203" s="10" t="s">
        <v>642</v>
      </c>
      <c r="K203" s="10"/>
      <c r="L203" s="10"/>
    </row>
    <row r="204" customFormat="false" ht="15" hidden="false" customHeight="false" outlineLevel="0" collapsed="false">
      <c r="A204" s="10" t="s">
        <v>643</v>
      </c>
      <c r="B204" s="10" t="s">
        <v>413</v>
      </c>
      <c r="C204" s="10" t="s">
        <v>181</v>
      </c>
      <c r="D204" s="10" t="s">
        <v>437</v>
      </c>
      <c r="E204" s="10" t="s">
        <v>492</v>
      </c>
      <c r="F204" s="10" t="s">
        <v>95</v>
      </c>
      <c r="G204" s="10" t="s">
        <v>419</v>
      </c>
      <c r="H204" s="10" t="s">
        <v>185</v>
      </c>
      <c r="I204" s="11" t="str">
        <f aca="false">IF(F204="",E204,E204&amp;"-"&amp;F204&amp;G204&amp;"-"&amp;H204)</f>
        <v>08X06-LPP-01</v>
      </c>
      <c r="J204" s="10" t="s">
        <v>642</v>
      </c>
      <c r="K204" s="10"/>
      <c r="L204" s="10"/>
    </row>
    <row r="205" customFormat="false" ht="15" hidden="false" customHeight="false" outlineLevel="0" collapsed="false">
      <c r="A205" s="10" t="s">
        <v>644</v>
      </c>
      <c r="B205" s="10" t="s">
        <v>413</v>
      </c>
      <c r="C205" s="10" t="s">
        <v>183</v>
      </c>
      <c r="D205" s="10" t="s">
        <v>199</v>
      </c>
      <c r="E205" s="10" t="s">
        <v>258</v>
      </c>
      <c r="F205" s="10" t="s">
        <v>103</v>
      </c>
      <c r="G205" s="10" t="s">
        <v>419</v>
      </c>
      <c r="H205" s="10" t="s">
        <v>185</v>
      </c>
      <c r="I205" s="11" t="str">
        <f aca="false">IF(F205="",E205,E205&amp;"-"&amp;F205&amp;G205&amp;"-"&amp;H205)</f>
        <v>08A07-BRP-01</v>
      </c>
      <c r="J205" s="10" t="s">
        <v>645</v>
      </c>
      <c r="K205" s="10" t="s">
        <v>455</v>
      </c>
      <c r="L205" s="10"/>
    </row>
    <row r="206" customFormat="false" ht="15" hidden="false" customHeight="false" outlineLevel="0" collapsed="false">
      <c r="A206" s="10" t="s">
        <v>646</v>
      </c>
      <c r="B206" s="10" t="s">
        <v>413</v>
      </c>
      <c r="C206" s="10" t="s">
        <v>183</v>
      </c>
      <c r="D206" s="10" t="s">
        <v>199</v>
      </c>
      <c r="E206" s="10" t="s">
        <v>258</v>
      </c>
      <c r="F206" s="10" t="s">
        <v>103</v>
      </c>
      <c r="G206" s="10" t="s">
        <v>419</v>
      </c>
      <c r="H206" s="10" t="s">
        <v>187</v>
      </c>
      <c r="I206" s="11" t="str">
        <f aca="false">IF(F206="",E206,E206&amp;"-"&amp;F206&amp;G206&amp;"-"&amp;H206)</f>
        <v>08A07-BRP-02</v>
      </c>
      <c r="J206" s="10" t="s">
        <v>645</v>
      </c>
      <c r="K206" s="10" t="s">
        <v>455</v>
      </c>
      <c r="L206" s="10"/>
    </row>
    <row r="207" customFormat="false" ht="15" hidden="false" customHeight="false" outlineLevel="0" collapsed="false">
      <c r="A207" s="10" t="s">
        <v>647</v>
      </c>
      <c r="B207" s="10" t="s">
        <v>413</v>
      </c>
      <c r="C207" s="10" t="s">
        <v>183</v>
      </c>
      <c r="D207" s="10" t="s">
        <v>199</v>
      </c>
      <c r="E207" s="10" t="s">
        <v>258</v>
      </c>
      <c r="F207" s="10" t="s">
        <v>109</v>
      </c>
      <c r="G207" s="10" t="s">
        <v>419</v>
      </c>
      <c r="H207" s="10" t="s">
        <v>185</v>
      </c>
      <c r="I207" s="11" t="str">
        <f aca="false">IF(F207="",E207,E207&amp;"-"&amp;F207&amp;G207&amp;"-"&amp;H207)</f>
        <v>08A07-DBP-01</v>
      </c>
      <c r="J207" s="10" t="s">
        <v>645</v>
      </c>
      <c r="K207" s="10" t="s">
        <v>455</v>
      </c>
      <c r="L207" s="10"/>
    </row>
    <row r="208" customFormat="false" ht="15" hidden="false" customHeight="false" outlineLevel="0" collapsed="false">
      <c r="A208" s="10" t="s">
        <v>648</v>
      </c>
      <c r="B208" s="10" t="s">
        <v>413</v>
      </c>
      <c r="C208" s="10" t="s">
        <v>183</v>
      </c>
      <c r="D208" s="10" t="s">
        <v>199</v>
      </c>
      <c r="E208" s="10" t="s">
        <v>258</v>
      </c>
      <c r="F208" s="10" t="s">
        <v>115</v>
      </c>
      <c r="G208" s="10" t="s">
        <v>419</v>
      </c>
      <c r="H208" s="10" t="s">
        <v>185</v>
      </c>
      <c r="I208" s="11" t="str">
        <f aca="false">IF(F208="",E208,E208&amp;"-"&amp;F208&amp;G208&amp;"-"&amp;H208)</f>
        <v>08A07-BKP-01</v>
      </c>
      <c r="J208" s="10" t="s">
        <v>645</v>
      </c>
      <c r="K208" s="10" t="s">
        <v>455</v>
      </c>
      <c r="L208" s="10"/>
    </row>
    <row r="209" customFormat="false" ht="15" hidden="false" customHeight="false" outlineLevel="0" collapsed="false">
      <c r="A209" s="10" t="s">
        <v>649</v>
      </c>
      <c r="B209" s="10" t="s">
        <v>413</v>
      </c>
      <c r="C209" s="10" t="s">
        <v>183</v>
      </c>
      <c r="D209" s="10" t="s">
        <v>199</v>
      </c>
      <c r="E209" s="10" t="s">
        <v>258</v>
      </c>
      <c r="F209" s="10" t="s">
        <v>83</v>
      </c>
      <c r="G209" s="10" t="s">
        <v>419</v>
      </c>
      <c r="H209" s="10" t="s">
        <v>185</v>
      </c>
      <c r="I209" s="11" t="str">
        <f aca="false">IF(F209="",E209,E209&amp;"-"&amp;F209&amp;G209&amp;"-"&amp;H209)</f>
        <v>08A07-SFP-01</v>
      </c>
      <c r="J209" s="10" t="s">
        <v>645</v>
      </c>
      <c r="K209" s="10" t="s">
        <v>455</v>
      </c>
      <c r="L209" s="10"/>
    </row>
    <row r="210" customFormat="false" ht="15" hidden="false" customHeight="false" outlineLevel="0" collapsed="false">
      <c r="A210" s="10" t="s">
        <v>650</v>
      </c>
      <c r="B210" s="10" t="s">
        <v>422</v>
      </c>
      <c r="C210" s="10" t="s">
        <v>210</v>
      </c>
      <c r="D210" s="10" t="s">
        <v>437</v>
      </c>
      <c r="E210" s="10" t="s">
        <v>651</v>
      </c>
      <c r="F210" s="10"/>
      <c r="G210" s="10"/>
      <c r="H210" s="10"/>
      <c r="I210" s="11" t="s">
        <v>651</v>
      </c>
      <c r="J210" s="10" t="s">
        <v>514</v>
      </c>
      <c r="K210" s="10" t="s">
        <v>452</v>
      </c>
      <c r="L210" s="10"/>
    </row>
    <row r="211" customFormat="false" ht="15" hidden="false" customHeight="false" outlineLevel="0" collapsed="false">
      <c r="A211" s="10" t="s">
        <v>652</v>
      </c>
      <c r="B211" s="10" t="s">
        <v>413</v>
      </c>
      <c r="C211" s="10" t="s">
        <v>210</v>
      </c>
      <c r="D211" s="10" t="s">
        <v>437</v>
      </c>
      <c r="E211" s="10" t="s">
        <v>651</v>
      </c>
      <c r="F211" s="10" t="s">
        <v>103</v>
      </c>
      <c r="G211" s="10" t="s">
        <v>419</v>
      </c>
      <c r="H211" s="10" t="s">
        <v>185</v>
      </c>
      <c r="I211" s="11" t="str">
        <f aca="false">IF(F211="",E211,E211&amp;"-"&amp;F211&amp;G211&amp;"-"&amp;H211)</f>
        <v>08X11-BRP-01</v>
      </c>
      <c r="J211" s="10" t="s">
        <v>653</v>
      </c>
      <c r="K211" s="10" t="s">
        <v>455</v>
      </c>
      <c r="L211" s="10"/>
    </row>
    <row r="212" customFormat="false" ht="23.85" hidden="false" customHeight="false" outlineLevel="0" collapsed="false">
      <c r="A212" s="10" t="s">
        <v>654</v>
      </c>
      <c r="B212" s="10" t="s">
        <v>413</v>
      </c>
      <c r="C212" s="10" t="s">
        <v>655</v>
      </c>
      <c r="D212" s="10" t="s">
        <v>437</v>
      </c>
      <c r="E212" s="10" t="s">
        <v>288</v>
      </c>
      <c r="F212" s="10" t="s">
        <v>99</v>
      </c>
      <c r="G212" s="10" t="s">
        <v>419</v>
      </c>
      <c r="H212" s="10" t="s">
        <v>185</v>
      </c>
      <c r="I212" s="11" t="str">
        <f aca="false">IF(F212="",E212,E212&amp;"-"&amp;F212&amp;G212&amp;"-"&amp;H212)</f>
        <v>08XXX-PLP-01</v>
      </c>
      <c r="J212" s="10" t="s">
        <v>653</v>
      </c>
      <c r="K212" s="10" t="s">
        <v>519</v>
      </c>
      <c r="L212" s="10"/>
    </row>
    <row r="213" customFormat="false" ht="15" hidden="false" customHeight="false" outlineLevel="0" collapsed="false">
      <c r="A213" s="10" t="s">
        <v>383</v>
      </c>
      <c r="B213" s="10" t="s">
        <v>413</v>
      </c>
      <c r="C213" s="10" t="s">
        <v>655</v>
      </c>
      <c r="D213" s="10" t="s">
        <v>437</v>
      </c>
      <c r="E213" s="10" t="s">
        <v>288</v>
      </c>
      <c r="F213" s="10" t="s">
        <v>99</v>
      </c>
      <c r="G213" s="10" t="s">
        <v>419</v>
      </c>
      <c r="H213" s="10" t="s">
        <v>187</v>
      </c>
      <c r="I213" s="11" t="str">
        <f aca="false">IF(F213="",E213,E213&amp;"-"&amp;F213&amp;G213&amp;"-"&amp;H213)</f>
        <v>08XXX-PLP-02</v>
      </c>
      <c r="J213" s="10" t="s">
        <v>653</v>
      </c>
      <c r="K213" s="10"/>
      <c r="L213" s="10"/>
    </row>
    <row r="214" customFormat="false" ht="23.85" hidden="false" customHeight="false" outlineLevel="0" collapsed="false">
      <c r="A214" s="10" t="s">
        <v>656</v>
      </c>
      <c r="B214" s="10" t="s">
        <v>413</v>
      </c>
      <c r="C214" s="10" t="s">
        <v>655</v>
      </c>
      <c r="D214" s="10" t="s">
        <v>437</v>
      </c>
      <c r="E214" s="10" t="s">
        <v>288</v>
      </c>
      <c r="F214" s="10" t="s">
        <v>99</v>
      </c>
      <c r="G214" s="10" t="s">
        <v>419</v>
      </c>
      <c r="H214" s="10" t="s">
        <v>189</v>
      </c>
      <c r="I214" s="11" t="str">
        <f aca="false">IF(F214="",E214,E214&amp;"-"&amp;F214&amp;G214&amp;"-"&amp;H214)</f>
        <v>08XXX-PLP-03</v>
      </c>
      <c r="J214" s="10" t="s">
        <v>653</v>
      </c>
      <c r="K214" s="10" t="s">
        <v>519</v>
      </c>
      <c r="L214" s="10"/>
    </row>
    <row r="215" customFormat="false" ht="23.85" hidden="false" customHeight="false" outlineLevel="0" collapsed="false">
      <c r="A215" s="10" t="s">
        <v>657</v>
      </c>
      <c r="B215" s="10" t="s">
        <v>413</v>
      </c>
      <c r="C215" s="10" t="s">
        <v>655</v>
      </c>
      <c r="D215" s="10" t="s">
        <v>437</v>
      </c>
      <c r="E215" s="10" t="s">
        <v>288</v>
      </c>
      <c r="F215" s="10" t="s">
        <v>72</v>
      </c>
      <c r="G215" s="10" t="s">
        <v>419</v>
      </c>
      <c r="H215" s="10" t="s">
        <v>185</v>
      </c>
      <c r="I215" s="11" t="str">
        <f aca="false">IF(F215="",E215,E215&amp;"-"&amp;F215&amp;G215&amp;"-"&amp;H215)</f>
        <v>08XXX-HBP-01</v>
      </c>
      <c r="J215" s="10" t="s">
        <v>653</v>
      </c>
      <c r="K215" s="10" t="s">
        <v>519</v>
      </c>
      <c r="L215" s="10"/>
    </row>
    <row r="216" customFormat="false" ht="23.85" hidden="false" customHeight="false" outlineLevel="0" collapsed="false">
      <c r="A216" s="10" t="s">
        <v>658</v>
      </c>
      <c r="B216" s="10" t="s">
        <v>413</v>
      </c>
      <c r="C216" s="10" t="s">
        <v>426</v>
      </c>
      <c r="D216" s="10" t="s">
        <v>426</v>
      </c>
      <c r="E216" s="10" t="s">
        <v>17</v>
      </c>
      <c r="F216" s="10" t="s">
        <v>109</v>
      </c>
      <c r="G216" s="10" t="s">
        <v>419</v>
      </c>
      <c r="H216" s="10" t="s">
        <v>185</v>
      </c>
      <c r="I216" s="11" t="str">
        <f aca="false">IF(F216="",E216,E216&amp;"-"&amp;F216&amp;G216&amp;"-"&amp;H216)</f>
        <v>08MGL-DBP-01</v>
      </c>
      <c r="J216" s="10" t="s">
        <v>427</v>
      </c>
      <c r="K216" s="10" t="s">
        <v>428</v>
      </c>
      <c r="L216" s="10"/>
    </row>
    <row r="217" customFormat="false" ht="15" hidden="false" customHeight="false" outlineLevel="0" collapsed="false">
      <c r="A217" s="10" t="s">
        <v>659</v>
      </c>
      <c r="B217" s="10" t="s">
        <v>413</v>
      </c>
      <c r="C217" s="10" t="s">
        <v>181</v>
      </c>
      <c r="D217" s="10" t="s">
        <v>437</v>
      </c>
      <c r="E217" s="10" t="s">
        <v>492</v>
      </c>
      <c r="F217" s="10" t="s">
        <v>83</v>
      </c>
      <c r="G217" s="10" t="s">
        <v>419</v>
      </c>
      <c r="H217" s="10" t="s">
        <v>185</v>
      </c>
      <c r="I217" s="11" t="str">
        <f aca="false">IF(F217="",E217,E217&amp;"-"&amp;F217&amp;G217&amp;"-"&amp;H217)</f>
        <v>08X06-SFP-01</v>
      </c>
      <c r="J217" s="10" t="s">
        <v>642</v>
      </c>
      <c r="K217" s="10"/>
      <c r="L217" s="10"/>
    </row>
    <row r="218" customFormat="false" ht="15" hidden="false" customHeight="false" outlineLevel="0" collapsed="false">
      <c r="A218" s="10" t="s">
        <v>660</v>
      </c>
      <c r="B218" s="10" t="s">
        <v>413</v>
      </c>
      <c r="C218" s="10" t="s">
        <v>181</v>
      </c>
      <c r="D218" s="10" t="s">
        <v>437</v>
      </c>
      <c r="E218" s="10" t="s">
        <v>492</v>
      </c>
      <c r="F218" s="10" t="s">
        <v>83</v>
      </c>
      <c r="G218" s="10" t="s">
        <v>419</v>
      </c>
      <c r="H218" s="10" t="s">
        <v>187</v>
      </c>
      <c r="I218" s="11" t="str">
        <f aca="false">IF(F218="",E218,E218&amp;"-"&amp;F218&amp;G218&amp;"-"&amp;H218)</f>
        <v>08X06-SFP-02</v>
      </c>
      <c r="J218" s="10" t="s">
        <v>642</v>
      </c>
      <c r="K218" s="10"/>
      <c r="L218" s="10"/>
    </row>
    <row r="219" customFormat="false" ht="15" hidden="false" customHeight="false" outlineLevel="0" collapsed="false">
      <c r="A219" s="10" t="s">
        <v>661</v>
      </c>
      <c r="B219" s="10" t="s">
        <v>413</v>
      </c>
      <c r="C219" s="10" t="s">
        <v>179</v>
      </c>
      <c r="D219" s="10" t="s">
        <v>437</v>
      </c>
      <c r="E219" s="10" t="s">
        <v>145</v>
      </c>
      <c r="F219" s="10" t="s">
        <v>127</v>
      </c>
      <c r="G219" s="10" t="s">
        <v>419</v>
      </c>
      <c r="H219" s="10" t="s">
        <v>185</v>
      </c>
      <c r="I219" s="11" t="str">
        <f aca="false">IF(F219="",E219,E219&amp;"-"&amp;F219&amp;G219&amp;"-"&amp;H219)</f>
        <v>08X04-MSP-01</v>
      </c>
      <c r="J219" s="10" t="s">
        <v>472</v>
      </c>
      <c r="K219" s="10" t="s">
        <v>662</v>
      </c>
      <c r="L219" s="10"/>
    </row>
    <row r="220" customFormat="false" ht="23.85" hidden="false" customHeight="false" outlineLevel="0" collapsed="false">
      <c r="A220" s="10" t="s">
        <v>663</v>
      </c>
      <c r="B220" s="10" t="s">
        <v>413</v>
      </c>
      <c r="C220" s="10" t="s">
        <v>426</v>
      </c>
      <c r="D220" s="10" t="s">
        <v>426</v>
      </c>
      <c r="E220" s="10" t="s">
        <v>17</v>
      </c>
      <c r="F220" s="10" t="s">
        <v>83</v>
      </c>
      <c r="G220" s="10" t="s">
        <v>419</v>
      </c>
      <c r="H220" s="10" t="s">
        <v>179</v>
      </c>
      <c r="I220" s="11" t="str">
        <f aca="false">IF(F220="",E220,E220&amp;"-"&amp;F220&amp;G220&amp;"-"&amp;H220)</f>
        <v>08MGL-SFP-04</v>
      </c>
      <c r="J220" s="10" t="s">
        <v>427</v>
      </c>
      <c r="K220" s="10" t="s">
        <v>428</v>
      </c>
      <c r="L220" s="10"/>
    </row>
    <row r="221" customFormat="false" ht="15" hidden="false" customHeight="false" outlineLevel="0" collapsed="false">
      <c r="A221" s="10" t="s">
        <v>664</v>
      </c>
      <c r="B221" s="10" t="s">
        <v>413</v>
      </c>
      <c r="C221" s="10" t="s">
        <v>179</v>
      </c>
      <c r="D221" s="10" t="s">
        <v>437</v>
      </c>
      <c r="E221" s="10" t="s">
        <v>15</v>
      </c>
      <c r="F221" s="10" t="s">
        <v>89</v>
      </c>
      <c r="G221" s="10" t="s">
        <v>419</v>
      </c>
      <c r="H221" s="10" t="s">
        <v>185</v>
      </c>
      <c r="I221" s="11" t="str">
        <f aca="false">IF(F221="",E221,E221&amp;"-"&amp;F221&amp;G221&amp;"-"&amp;H221)</f>
        <v>STOCK-LMP-01</v>
      </c>
      <c r="J221" s="10" t="s">
        <v>438</v>
      </c>
      <c r="K221" s="10" t="s">
        <v>665</v>
      </c>
      <c r="L221" s="10"/>
    </row>
    <row r="222" customFormat="false" ht="23.85" hidden="false" customHeight="false" outlineLevel="0" collapsed="false">
      <c r="A222" s="10" t="s">
        <v>666</v>
      </c>
      <c r="B222" s="10" t="s">
        <v>413</v>
      </c>
      <c r="C222" s="10" t="s">
        <v>441</v>
      </c>
      <c r="D222" s="10" t="s">
        <v>437</v>
      </c>
      <c r="E222" s="10" t="s">
        <v>15</v>
      </c>
      <c r="F222" s="10" t="s">
        <v>89</v>
      </c>
      <c r="G222" s="10" t="s">
        <v>419</v>
      </c>
      <c r="H222" s="10" t="s">
        <v>187</v>
      </c>
      <c r="I222" s="11" t="str">
        <f aca="false">IF(F222="",E222,E222&amp;"-"&amp;F222&amp;G222&amp;"-"&amp;H222)</f>
        <v>STOCK-LMP-02</v>
      </c>
      <c r="J222" s="10" t="s">
        <v>653</v>
      </c>
      <c r="K222" s="10" t="s">
        <v>667</v>
      </c>
      <c r="L222" s="10"/>
    </row>
    <row r="223" customFormat="false" ht="35.05" hidden="false" customHeight="false" outlineLevel="0" collapsed="false">
      <c r="A223" s="10" t="s">
        <v>391</v>
      </c>
      <c r="B223" s="10" t="s">
        <v>413</v>
      </c>
      <c r="C223" s="10" t="s">
        <v>441</v>
      </c>
      <c r="D223" s="10" t="s">
        <v>437</v>
      </c>
      <c r="E223" s="10" t="s">
        <v>15</v>
      </c>
      <c r="F223" s="10" t="s">
        <v>120</v>
      </c>
      <c r="G223" s="10" t="s">
        <v>419</v>
      </c>
      <c r="H223" s="10" t="s">
        <v>185</v>
      </c>
      <c r="I223" s="11" t="str">
        <f aca="false">IF(F223="",E223,E223&amp;"-"&amp;F223&amp;G223&amp;"-"&amp;H223)</f>
        <v>STOCK-PKP-01</v>
      </c>
      <c r="J223" s="10" t="s">
        <v>438</v>
      </c>
      <c r="K223" s="10" t="s">
        <v>668</v>
      </c>
      <c r="L223" s="10"/>
    </row>
    <row r="224" customFormat="false" ht="15" hidden="false" customHeight="false" outlineLevel="0" collapsed="false">
      <c r="A224" s="10" t="s">
        <v>669</v>
      </c>
      <c r="B224" s="10" t="s">
        <v>413</v>
      </c>
      <c r="C224" s="10" t="s">
        <v>183</v>
      </c>
      <c r="D224" s="10" t="s">
        <v>414</v>
      </c>
      <c r="E224" s="10" t="s">
        <v>261</v>
      </c>
      <c r="F224" s="10" t="s">
        <v>99</v>
      </c>
      <c r="G224" s="10" t="s">
        <v>419</v>
      </c>
      <c r="H224" s="10" t="s">
        <v>185</v>
      </c>
      <c r="I224" s="11" t="str">
        <f aca="false">IF(F224="",E224,E224&amp;"-"&amp;F224&amp;G224&amp;"-"&amp;H224)</f>
        <v>08Z07-PLP-01</v>
      </c>
      <c r="J224" s="10" t="s">
        <v>416</v>
      </c>
      <c r="K224" s="10" t="s">
        <v>417</v>
      </c>
      <c r="L224" s="10"/>
    </row>
    <row r="225" customFormat="false" ht="35.05" hidden="false" customHeight="false" outlineLevel="0" collapsed="false">
      <c r="A225" s="10" t="s">
        <v>670</v>
      </c>
      <c r="B225" s="10" t="s">
        <v>413</v>
      </c>
      <c r="C225" s="10" t="s">
        <v>671</v>
      </c>
      <c r="D225" s="10" t="s">
        <v>672</v>
      </c>
      <c r="E225" s="10" t="s">
        <v>15</v>
      </c>
      <c r="F225" s="10" t="s">
        <v>99</v>
      </c>
      <c r="G225" s="10" t="s">
        <v>419</v>
      </c>
      <c r="H225" s="10" t="s">
        <v>185</v>
      </c>
      <c r="I225" s="11" t="str">
        <f aca="false">IF(F225="",E225,E225&amp;"-"&amp;F225&amp;G225&amp;"-"&amp;H225)</f>
        <v>STOCK-PLP-01</v>
      </c>
      <c r="J225" s="10" t="s">
        <v>653</v>
      </c>
      <c r="K225" s="10" t="s">
        <v>673</v>
      </c>
      <c r="L225" s="10"/>
    </row>
    <row r="226" customFormat="false" ht="35.05" hidden="false" customHeight="false" outlineLevel="0" collapsed="false">
      <c r="A226" s="10" t="s">
        <v>674</v>
      </c>
      <c r="B226" s="10" t="s">
        <v>413</v>
      </c>
      <c r="C226" s="10" t="s">
        <v>671</v>
      </c>
      <c r="D226" s="10" t="s">
        <v>672</v>
      </c>
      <c r="E226" s="10" t="s">
        <v>15</v>
      </c>
      <c r="F226" s="10" t="s">
        <v>95</v>
      </c>
      <c r="G226" s="10" t="s">
        <v>419</v>
      </c>
      <c r="H226" s="10" t="s">
        <v>185</v>
      </c>
      <c r="I226" s="11" t="str">
        <f aca="false">IF(F226="",E226,E226&amp;"-"&amp;F226&amp;G226&amp;"-"&amp;H226)</f>
        <v>STOCK-LPP-01</v>
      </c>
      <c r="J226" s="10" t="s">
        <v>438</v>
      </c>
      <c r="K226" s="10" t="s">
        <v>668</v>
      </c>
      <c r="L226" s="10"/>
    </row>
    <row r="227" customFormat="false" ht="15" hidden="false" customHeight="false" outlineLevel="0" collapsed="false">
      <c r="A227" s="10" t="s">
        <v>675</v>
      </c>
      <c r="B227" s="10" t="s">
        <v>422</v>
      </c>
      <c r="C227" s="10" t="s">
        <v>183</v>
      </c>
      <c r="D227" s="10" t="s">
        <v>414</v>
      </c>
      <c r="E227" s="10" t="s">
        <v>261</v>
      </c>
      <c r="F227" s="10"/>
      <c r="G227" s="10"/>
      <c r="H227" s="10"/>
      <c r="I227" s="11"/>
      <c r="J227" s="10" t="s">
        <v>676</v>
      </c>
      <c r="K227" s="10" t="s">
        <v>677</v>
      </c>
      <c r="L227" s="10"/>
    </row>
    <row r="228" customFormat="false" ht="15" hidden="false" customHeight="false" outlineLevel="0" collapsed="false">
      <c r="A228" s="10" t="s">
        <v>678</v>
      </c>
      <c r="B228" s="10" t="s">
        <v>422</v>
      </c>
      <c r="C228" s="10" t="s">
        <v>183</v>
      </c>
      <c r="D228" s="10" t="s">
        <v>199</v>
      </c>
      <c r="E228" s="10" t="s">
        <v>258</v>
      </c>
      <c r="F228" s="10"/>
      <c r="G228" s="10"/>
      <c r="H228" s="10"/>
      <c r="I228" s="11"/>
      <c r="J228" s="10" t="s">
        <v>676</v>
      </c>
      <c r="K228" s="10" t="s">
        <v>677</v>
      </c>
      <c r="L228" s="10"/>
    </row>
    <row r="229" customFormat="false" ht="23.85" hidden="false" customHeight="false" outlineLevel="0" collapsed="false">
      <c r="A229" s="10" t="s">
        <v>294</v>
      </c>
      <c r="B229" s="10" t="s">
        <v>413</v>
      </c>
      <c r="C229" s="10" t="s">
        <v>655</v>
      </c>
      <c r="D229" s="10" t="s">
        <v>201</v>
      </c>
      <c r="E229" s="10" t="s">
        <v>292</v>
      </c>
      <c r="F229" s="10" t="s">
        <v>115</v>
      </c>
      <c r="G229" s="10" t="s">
        <v>419</v>
      </c>
      <c r="H229" s="10" t="s">
        <v>185</v>
      </c>
      <c r="I229" s="11" t="str">
        <f aca="false">IF(F229="",E229,E229&amp;"-"&amp;F229&amp;G229&amp;"-"&amp;H229)</f>
        <v>08BXX-BKP-01</v>
      </c>
      <c r="J229" s="10" t="s">
        <v>653</v>
      </c>
      <c r="K229" s="10"/>
      <c r="L229" s="10"/>
    </row>
    <row r="230" customFormat="false" ht="15" hidden="false" customHeight="false" outlineLevel="0" collapsed="false">
      <c r="A230" s="10" t="s">
        <v>679</v>
      </c>
      <c r="B230" s="10" t="s">
        <v>413</v>
      </c>
      <c r="C230" s="10" t="s">
        <v>183</v>
      </c>
      <c r="D230" s="10" t="s">
        <v>414</v>
      </c>
      <c r="E230" s="10" t="s">
        <v>261</v>
      </c>
      <c r="F230" s="10" t="s">
        <v>103</v>
      </c>
      <c r="G230" s="10" t="s">
        <v>419</v>
      </c>
      <c r="H230" s="10" t="s">
        <v>187</v>
      </c>
      <c r="I230" s="11" t="str">
        <f aca="false">IF(F230="",E230,E230&amp;"-"&amp;F230&amp;G230&amp;"-"&amp;H230)</f>
        <v>08Z07-BRP-02</v>
      </c>
      <c r="J230" s="10" t="s">
        <v>416</v>
      </c>
      <c r="K230" s="10" t="s">
        <v>417</v>
      </c>
      <c r="L230" s="10"/>
    </row>
    <row r="231" customFormat="false" ht="23.85" hidden="false" customHeight="false" outlineLevel="0" collapsed="false">
      <c r="A231" s="10" t="s">
        <v>680</v>
      </c>
      <c r="B231" s="10" t="s">
        <v>413</v>
      </c>
      <c r="C231" s="10" t="s">
        <v>426</v>
      </c>
      <c r="D231" s="10" t="s">
        <v>426</v>
      </c>
      <c r="E231" s="10" t="s">
        <v>17</v>
      </c>
      <c r="F231" s="10" t="s">
        <v>103</v>
      </c>
      <c r="G231" s="10" t="s">
        <v>419</v>
      </c>
      <c r="H231" s="10" t="s">
        <v>185</v>
      </c>
      <c r="I231" s="11" t="str">
        <f aca="false">IF(F231="",E231,E231&amp;"-"&amp;F231&amp;G231&amp;"-"&amp;H231)</f>
        <v>08MGL-BRP-01</v>
      </c>
      <c r="J231" s="10" t="s">
        <v>427</v>
      </c>
      <c r="K231" s="10" t="s">
        <v>428</v>
      </c>
      <c r="L231" s="10"/>
    </row>
    <row r="232" customFormat="false" ht="23.85" hidden="false" customHeight="false" outlineLevel="0" collapsed="false">
      <c r="A232" s="10" t="s">
        <v>681</v>
      </c>
      <c r="B232" s="10" t="s">
        <v>413</v>
      </c>
      <c r="C232" s="10" t="s">
        <v>179</v>
      </c>
      <c r="D232" s="10" t="s">
        <v>199</v>
      </c>
      <c r="E232" s="10" t="s">
        <v>139</v>
      </c>
      <c r="F232" s="10" t="s">
        <v>83</v>
      </c>
      <c r="G232" s="10" t="s">
        <v>419</v>
      </c>
      <c r="H232" s="10" t="s">
        <v>192</v>
      </c>
      <c r="I232" s="11" t="str">
        <f aca="false">IF(F232="",E232,E232&amp;"-"&amp;F232&amp;G232&amp;"-"&amp;H232)</f>
        <v>08A04-SFP-05</v>
      </c>
      <c r="J232" s="10"/>
      <c r="K232" s="10" t="s">
        <v>444</v>
      </c>
      <c r="L232" s="10"/>
    </row>
    <row r="233" customFormat="false" ht="23.85" hidden="false" customHeight="false" outlineLevel="0" collapsed="false">
      <c r="A233" s="10" t="s">
        <v>682</v>
      </c>
      <c r="B233" s="10" t="s">
        <v>413</v>
      </c>
      <c r="C233" s="10" t="s">
        <v>179</v>
      </c>
      <c r="D233" s="10" t="s">
        <v>203</v>
      </c>
      <c r="E233" s="10" t="s">
        <v>236</v>
      </c>
      <c r="F233" s="10" t="s">
        <v>83</v>
      </c>
      <c r="G233" s="10" t="s">
        <v>419</v>
      </c>
      <c r="H233" s="10" t="s">
        <v>192</v>
      </c>
      <c r="I233" s="11" t="str">
        <f aca="false">IF(F233="",E233,E233&amp;"-"&amp;F233&amp;G233&amp;"-"&amp;H233)</f>
        <v>08C04-SFP-05</v>
      </c>
      <c r="J233" s="10"/>
      <c r="K233" s="10" t="s">
        <v>444</v>
      </c>
      <c r="L233" s="10"/>
    </row>
    <row r="234" customFormat="false" ht="15" hidden="false" customHeight="false" outlineLevel="0" collapsed="false">
      <c r="A234" s="10" t="s">
        <v>683</v>
      </c>
      <c r="B234" s="10" t="s">
        <v>413</v>
      </c>
      <c r="C234" s="10" t="s">
        <v>179</v>
      </c>
      <c r="D234" s="10" t="s">
        <v>199</v>
      </c>
      <c r="E234" s="10" t="s">
        <v>139</v>
      </c>
      <c r="F234" s="10" t="s">
        <v>83</v>
      </c>
      <c r="G234" s="10" t="s">
        <v>419</v>
      </c>
      <c r="H234" s="10" t="s">
        <v>181</v>
      </c>
      <c r="I234" s="11" t="str">
        <f aca="false">IF(F234="",E234,E234&amp;"-"&amp;F234&amp;G234&amp;"-"&amp;H234)</f>
        <v>08A04-SFP-06</v>
      </c>
      <c r="J234" s="10"/>
      <c r="K234" s="10" t="s">
        <v>444</v>
      </c>
      <c r="L234" s="10"/>
    </row>
    <row r="235" customFormat="false" ht="15" hidden="false" customHeight="false" outlineLevel="0" collapsed="false">
      <c r="A235" s="10" t="s">
        <v>684</v>
      </c>
      <c r="B235" s="10" t="s">
        <v>413</v>
      </c>
      <c r="C235" s="10" t="s">
        <v>179</v>
      </c>
      <c r="D235" s="10" t="s">
        <v>203</v>
      </c>
      <c r="E235" s="10" t="s">
        <v>236</v>
      </c>
      <c r="F235" s="10" t="s">
        <v>83</v>
      </c>
      <c r="G235" s="10" t="s">
        <v>419</v>
      </c>
      <c r="H235" s="10" t="s">
        <v>181</v>
      </c>
      <c r="I235" s="11" t="str">
        <f aca="false">IF(F235="",E235,E235&amp;"-"&amp;F235&amp;G235&amp;"-"&amp;H235)</f>
        <v>08C04-SFP-06</v>
      </c>
      <c r="J235" s="10"/>
      <c r="K235" s="10" t="s">
        <v>444</v>
      </c>
      <c r="L235" s="10"/>
    </row>
    <row r="236" customFormat="false" ht="15" hidden="false" customHeight="false" outlineLevel="0" collapsed="false">
      <c r="A236" s="10" t="s">
        <v>685</v>
      </c>
      <c r="B236" s="10" t="s">
        <v>413</v>
      </c>
      <c r="C236" s="10" t="s">
        <v>655</v>
      </c>
      <c r="D236" s="10" t="s">
        <v>437</v>
      </c>
      <c r="E236" s="10" t="s">
        <v>288</v>
      </c>
      <c r="F236" s="10" t="s">
        <v>72</v>
      </c>
      <c r="G236" s="10" t="s">
        <v>419</v>
      </c>
      <c r="H236" s="10" t="s">
        <v>187</v>
      </c>
      <c r="I236" s="11" t="str">
        <f aca="false">IF(F236="",E236,E236&amp;"-"&amp;F236&amp;G236&amp;"-"&amp;H236)</f>
        <v>08XXX-HBP-02</v>
      </c>
      <c r="J236" s="10" t="s">
        <v>653</v>
      </c>
      <c r="K236" s="10"/>
      <c r="L236" s="10"/>
    </row>
    <row r="237" customFormat="false" ht="15" hidden="false" customHeight="false" outlineLevel="0" collapsed="false">
      <c r="A237" s="10" t="s">
        <v>686</v>
      </c>
      <c r="B237" s="10" t="s">
        <v>422</v>
      </c>
      <c r="C237" s="10" t="s">
        <v>210</v>
      </c>
      <c r="D237" s="10" t="s">
        <v>437</v>
      </c>
      <c r="E237" s="10" t="s">
        <v>651</v>
      </c>
      <c r="F237" s="10" t="s">
        <v>124</v>
      </c>
      <c r="G237" s="10" t="s">
        <v>199</v>
      </c>
      <c r="H237" s="10" t="s">
        <v>185</v>
      </c>
      <c r="I237" s="11" t="str">
        <f aca="false">IF(F237="",E237,E237&amp;"-"&amp;F237&amp;G237&amp;"-"&amp;H237)</f>
        <v>08X11-FSA-01</v>
      </c>
      <c r="J237" s="10" t="s">
        <v>687</v>
      </c>
      <c r="K237" s="10" t="s">
        <v>688</v>
      </c>
      <c r="L237" s="10"/>
    </row>
    <row r="238" customFormat="false" ht="15" hidden="false" customHeight="false" outlineLevel="0" collapsed="false">
      <c r="A238" s="10" t="s">
        <v>689</v>
      </c>
      <c r="B238" s="10" t="s">
        <v>413</v>
      </c>
      <c r="C238" s="10" t="s">
        <v>179</v>
      </c>
      <c r="D238" s="10" t="s">
        <v>437</v>
      </c>
      <c r="E238" s="10" t="s">
        <v>15</v>
      </c>
      <c r="F238" s="10" t="s">
        <v>103</v>
      </c>
      <c r="G238" s="10" t="s">
        <v>419</v>
      </c>
      <c r="H238" s="10" t="s">
        <v>185</v>
      </c>
      <c r="I238" s="11" t="str">
        <f aca="false">IF(F238="",E238,E238&amp;"-"&amp;F238&amp;G238&amp;"-"&amp;H238)</f>
        <v>STOCK-BRP-01</v>
      </c>
      <c r="J238" s="10" t="s">
        <v>438</v>
      </c>
      <c r="K238" s="10" t="s">
        <v>665</v>
      </c>
      <c r="L238" s="10"/>
    </row>
    <row r="239" customFormat="false" ht="35.05" hidden="false" customHeight="false" outlineLevel="0" collapsed="false">
      <c r="A239" s="10" t="s">
        <v>690</v>
      </c>
      <c r="B239" s="10" t="s">
        <v>413</v>
      </c>
      <c r="C239" s="10" t="s">
        <v>441</v>
      </c>
      <c r="D239" s="10" t="s">
        <v>437</v>
      </c>
      <c r="E239" s="10" t="s">
        <v>15</v>
      </c>
      <c r="F239" s="10" t="s">
        <v>103</v>
      </c>
      <c r="G239" s="10" t="s">
        <v>419</v>
      </c>
      <c r="H239" s="10" t="s">
        <v>187</v>
      </c>
      <c r="I239" s="11" t="str">
        <f aca="false">IF(F239="",E239,E239&amp;"-"&amp;F239&amp;G239&amp;"-"&amp;H239)</f>
        <v>STOCK-BRP-02</v>
      </c>
      <c r="J239" s="10" t="s">
        <v>653</v>
      </c>
      <c r="K239" s="10" t="s">
        <v>673</v>
      </c>
      <c r="L239" s="10"/>
    </row>
    <row r="240" customFormat="false" ht="15" hidden="false" customHeight="false" outlineLevel="0" collapsed="false">
      <c r="A240" s="10" t="s">
        <v>691</v>
      </c>
      <c r="B240" s="10" t="s">
        <v>422</v>
      </c>
      <c r="C240" s="10" t="s">
        <v>183</v>
      </c>
      <c r="D240" s="10" t="s">
        <v>414</v>
      </c>
      <c r="E240" s="10" t="s">
        <v>261</v>
      </c>
      <c r="F240" s="10" t="s">
        <v>83</v>
      </c>
      <c r="G240" s="10" t="s">
        <v>199</v>
      </c>
      <c r="H240" s="10" t="s">
        <v>185</v>
      </c>
      <c r="I240" s="11" t="str">
        <f aca="false">IF(F240="",E240,E240&amp;"-"&amp;F240&amp;G240&amp;"-"&amp;H240)</f>
        <v>08Z07-SFA-01</v>
      </c>
      <c r="J240" s="10" t="s">
        <v>416</v>
      </c>
      <c r="K240" s="10" t="s">
        <v>417</v>
      </c>
      <c r="L240" s="10"/>
    </row>
  </sheetData>
  <autoFilter ref="A4:L2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80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2" t="s">
        <v>692</v>
      </c>
    </row>
    <row r="2" customFormat="false" ht="15" hidden="false" customHeight="false" outlineLevel="0" collapsed="false">
      <c r="A2" s="1" t="s">
        <v>693</v>
      </c>
    </row>
    <row r="4" customFormat="false" ht="23.85" hidden="false" customHeight="false" outlineLevel="0" collapsed="false">
      <c r="A4" s="9" t="s">
        <v>229</v>
      </c>
      <c r="B4" s="9" t="s">
        <v>694</v>
      </c>
      <c r="C4" s="9" t="s">
        <v>4</v>
      </c>
      <c r="D4" s="9" t="s">
        <v>695</v>
      </c>
      <c r="E4" s="9" t="s">
        <v>352</v>
      </c>
      <c r="F4" s="9" t="s">
        <v>408</v>
      </c>
      <c r="G4" s="9" t="s">
        <v>696</v>
      </c>
      <c r="H4" s="9" t="s">
        <v>410</v>
      </c>
      <c r="I4" s="9" t="s">
        <v>411</v>
      </c>
    </row>
    <row r="5" customFormat="false" ht="15" hidden="false" customHeight="false" outlineLevel="0" collapsed="false">
      <c r="A5" s="10" t="s">
        <v>440</v>
      </c>
      <c r="B5" s="10" t="s">
        <v>697</v>
      </c>
      <c r="C5" s="10" t="s">
        <v>80</v>
      </c>
      <c r="D5" s="10"/>
      <c r="E5" s="10"/>
      <c r="F5" s="11"/>
      <c r="G5" s="10"/>
      <c r="H5" s="10" t="s">
        <v>698</v>
      </c>
      <c r="I5" s="10"/>
    </row>
    <row r="6" customFormat="false" ht="15" hidden="false" customHeight="false" outlineLevel="0" collapsed="false">
      <c r="A6" s="10" t="s">
        <v>440</v>
      </c>
      <c r="B6" s="10" t="s">
        <v>699</v>
      </c>
      <c r="C6" s="10" t="s">
        <v>145</v>
      </c>
      <c r="D6" s="10" t="s">
        <v>91</v>
      </c>
      <c r="E6" s="10" t="s">
        <v>185</v>
      </c>
      <c r="F6" s="11" t="str">
        <f aca="false">C6&amp;"-"&amp;D6&amp;"-"&amp;E6</f>
        <v>08X04-LMW-01</v>
      </c>
      <c r="G6" s="10" t="str">
        <f aca="false">C6&amp;"-"&amp;D6</f>
        <v>08X04-LMW</v>
      </c>
      <c r="H6" s="10" t="s">
        <v>700</v>
      </c>
      <c r="I6" s="10"/>
    </row>
    <row r="7" customFormat="false" ht="15" hidden="false" customHeight="false" outlineLevel="0" collapsed="false">
      <c r="A7" s="10" t="s">
        <v>440</v>
      </c>
      <c r="B7" s="10" t="s">
        <v>701</v>
      </c>
      <c r="C7" s="10" t="s">
        <v>145</v>
      </c>
      <c r="D7" s="10" t="s">
        <v>91</v>
      </c>
      <c r="E7" s="10" t="s">
        <v>187</v>
      </c>
      <c r="F7" s="11" t="str">
        <f aca="false">C7&amp;"-"&amp;D7&amp;"-"&amp;E7</f>
        <v>08X04-LMW-02</v>
      </c>
      <c r="G7" s="10" t="str">
        <f aca="false">C7&amp;"-"&amp;D7</f>
        <v>08X04-LMW</v>
      </c>
      <c r="H7" s="10" t="s">
        <v>700</v>
      </c>
      <c r="I7" s="10"/>
    </row>
    <row r="8" customFormat="false" ht="15" hidden="false" customHeight="false" outlineLevel="0" collapsed="false">
      <c r="A8" s="10" t="s">
        <v>440</v>
      </c>
      <c r="B8" s="10" t="s">
        <v>702</v>
      </c>
      <c r="C8" s="10" t="s">
        <v>145</v>
      </c>
      <c r="D8" s="10" t="s">
        <v>91</v>
      </c>
      <c r="E8" s="10" t="s">
        <v>189</v>
      </c>
      <c r="F8" s="11" t="str">
        <f aca="false">C8&amp;"-"&amp;D8&amp;"-"&amp;E8</f>
        <v>08X04-LMW-03</v>
      </c>
      <c r="G8" s="10" t="str">
        <f aca="false">C8&amp;"-"&amp;D8</f>
        <v>08X04-LMW</v>
      </c>
      <c r="H8" s="10" t="s">
        <v>700</v>
      </c>
      <c r="I8" s="10"/>
    </row>
    <row r="9" customFormat="false" ht="15" hidden="false" customHeight="false" outlineLevel="0" collapsed="false">
      <c r="A9" s="10" t="s">
        <v>440</v>
      </c>
      <c r="B9" s="10" t="s">
        <v>703</v>
      </c>
      <c r="C9" s="10" t="s">
        <v>145</v>
      </c>
      <c r="D9" s="10" t="s">
        <v>91</v>
      </c>
      <c r="E9" s="10" t="s">
        <v>179</v>
      </c>
      <c r="F9" s="11" t="str">
        <f aca="false">C9&amp;"-"&amp;D9&amp;"-"&amp;E9</f>
        <v>08X04-LMW-04</v>
      </c>
      <c r="G9" s="10" t="str">
        <f aca="false">C9&amp;"-"&amp;D9</f>
        <v>08X04-LMW</v>
      </c>
      <c r="H9" s="10" t="s">
        <v>700</v>
      </c>
      <c r="I9" s="10"/>
    </row>
    <row r="10" customFormat="false" ht="15" hidden="false" customHeight="false" outlineLevel="0" collapsed="false">
      <c r="A10" s="10" t="s">
        <v>440</v>
      </c>
      <c r="B10" s="10" t="s">
        <v>704</v>
      </c>
      <c r="C10" s="10" t="s">
        <v>145</v>
      </c>
      <c r="D10" s="10" t="s">
        <v>91</v>
      </c>
      <c r="E10" s="10" t="s">
        <v>192</v>
      </c>
      <c r="F10" s="11" t="str">
        <f aca="false">C10&amp;"-"&amp;D10&amp;"-"&amp;E10</f>
        <v>08X04-LMW-05</v>
      </c>
      <c r="G10" s="10" t="str">
        <f aca="false">C10&amp;"-"&amp;D10</f>
        <v>08X04-LMW</v>
      </c>
      <c r="H10" s="10" t="s">
        <v>700</v>
      </c>
      <c r="I10" s="10"/>
    </row>
    <row r="11" customFormat="false" ht="15" hidden="false" customHeight="false" outlineLevel="0" collapsed="false">
      <c r="A11" s="10" t="s">
        <v>440</v>
      </c>
      <c r="B11" s="10" t="s">
        <v>705</v>
      </c>
      <c r="C11" s="10" t="s">
        <v>145</v>
      </c>
      <c r="D11" s="10" t="s">
        <v>91</v>
      </c>
      <c r="E11" s="10" t="s">
        <v>181</v>
      </c>
      <c r="F11" s="11" t="str">
        <f aca="false">C11&amp;"-"&amp;D11&amp;"-"&amp;E11</f>
        <v>08X04-LMW-06</v>
      </c>
      <c r="G11" s="10" t="str">
        <f aca="false">C11&amp;"-"&amp;D11</f>
        <v>08X04-LMW</v>
      </c>
      <c r="H11" s="10" t="s">
        <v>700</v>
      </c>
      <c r="I11" s="10"/>
    </row>
    <row r="12" customFormat="false" ht="15" hidden="false" customHeight="false" outlineLevel="0" collapsed="false">
      <c r="A12" s="10" t="s">
        <v>440</v>
      </c>
      <c r="B12" s="10" t="s">
        <v>706</v>
      </c>
      <c r="C12" s="10" t="s">
        <v>145</v>
      </c>
      <c r="D12" s="10" t="s">
        <v>91</v>
      </c>
      <c r="E12" s="10" t="s">
        <v>183</v>
      </c>
      <c r="F12" s="11" t="str">
        <f aca="false">C12&amp;"-"&amp;D12&amp;"-"&amp;E12</f>
        <v>08X04-LMW-07</v>
      </c>
      <c r="G12" s="10" t="str">
        <f aca="false">C12&amp;"-"&amp;D12</f>
        <v>08X04-LMW</v>
      </c>
      <c r="H12" s="10" t="s">
        <v>700</v>
      </c>
      <c r="I12" s="10"/>
    </row>
    <row r="13" customFormat="false" ht="15" hidden="false" customHeight="false" outlineLevel="0" collapsed="false">
      <c r="A13" s="10" t="s">
        <v>440</v>
      </c>
      <c r="B13" s="10" t="s">
        <v>707</v>
      </c>
      <c r="C13" s="10" t="s">
        <v>145</v>
      </c>
      <c r="D13" s="10" t="s">
        <v>91</v>
      </c>
      <c r="E13" s="10" t="s">
        <v>195</v>
      </c>
      <c r="F13" s="11" t="str">
        <f aca="false">C13&amp;"-"&amp;D13&amp;"-"&amp;E13</f>
        <v>08X04-LMW-08</v>
      </c>
      <c r="G13" s="10" t="str">
        <f aca="false">C13&amp;"-"&amp;D13</f>
        <v>08X04-LMW</v>
      </c>
      <c r="H13" s="10" t="s">
        <v>700</v>
      </c>
      <c r="I13" s="10"/>
    </row>
    <row r="14" customFormat="false" ht="15" hidden="false" customHeight="false" outlineLevel="0" collapsed="false">
      <c r="A14" s="10" t="s">
        <v>440</v>
      </c>
      <c r="B14" s="10" t="s">
        <v>708</v>
      </c>
      <c r="C14" s="10" t="s">
        <v>145</v>
      </c>
      <c r="D14" s="10" t="s">
        <v>91</v>
      </c>
      <c r="E14" s="10" t="s">
        <v>213</v>
      </c>
      <c r="F14" s="11" t="str">
        <f aca="false">C14&amp;"-"&amp;D14&amp;"-"&amp;E14</f>
        <v>08X04-LMW-09</v>
      </c>
      <c r="G14" s="10" t="str">
        <f aca="false">C14&amp;"-"&amp;D14</f>
        <v>08X04-LMW</v>
      </c>
      <c r="H14" s="10" t="s">
        <v>700</v>
      </c>
      <c r="I14" s="10"/>
    </row>
    <row r="15" customFormat="false" ht="15" hidden="false" customHeight="false" outlineLevel="0" collapsed="false">
      <c r="A15" s="10" t="s">
        <v>440</v>
      </c>
      <c r="B15" s="10" t="s">
        <v>709</v>
      </c>
      <c r="C15" s="10" t="s">
        <v>145</v>
      </c>
      <c r="D15" s="10" t="s">
        <v>91</v>
      </c>
      <c r="E15" s="10" t="s">
        <v>208</v>
      </c>
      <c r="F15" s="11" t="str">
        <f aca="false">C15&amp;"-"&amp;D15&amp;"-"&amp;E15</f>
        <v>08X04-LMW-10</v>
      </c>
      <c r="G15" s="10" t="str">
        <f aca="false">C15&amp;"-"&amp;D15</f>
        <v>08X04-LMW</v>
      </c>
      <c r="H15" s="10" t="s">
        <v>700</v>
      </c>
      <c r="I15" s="10"/>
    </row>
    <row r="16" customFormat="false" ht="15" hidden="false" customHeight="false" outlineLevel="0" collapsed="false">
      <c r="A16" s="10" t="s">
        <v>440</v>
      </c>
      <c r="B16" s="10" t="s">
        <v>710</v>
      </c>
      <c r="C16" s="10" t="s">
        <v>145</v>
      </c>
      <c r="D16" s="10" t="s">
        <v>91</v>
      </c>
      <c r="E16" s="10" t="s">
        <v>210</v>
      </c>
      <c r="F16" s="11" t="str">
        <f aca="false">C16&amp;"-"&amp;D16&amp;"-"&amp;E16</f>
        <v>08X04-LMW-11</v>
      </c>
      <c r="G16" s="10" t="str">
        <f aca="false">C16&amp;"-"&amp;D16</f>
        <v>08X04-LMW</v>
      </c>
      <c r="H16" s="10" t="s">
        <v>700</v>
      </c>
      <c r="I16" s="10"/>
    </row>
    <row r="17" customFormat="false" ht="15" hidden="false" customHeight="false" outlineLevel="0" collapsed="false">
      <c r="A17" s="10" t="s">
        <v>440</v>
      </c>
      <c r="B17" s="10" t="s">
        <v>711</v>
      </c>
      <c r="C17" s="10" t="s">
        <v>145</v>
      </c>
      <c r="D17" s="10" t="s">
        <v>91</v>
      </c>
      <c r="E17" s="10" t="s">
        <v>222</v>
      </c>
      <c r="F17" s="11" t="str">
        <f aca="false">C17&amp;"-"&amp;D17&amp;"-"&amp;E17</f>
        <v>08X04-LMW-12</v>
      </c>
      <c r="G17" s="10" t="str">
        <f aca="false">C17&amp;"-"&amp;D17</f>
        <v>08X04-LMW</v>
      </c>
      <c r="H17" s="10" t="s">
        <v>700</v>
      </c>
      <c r="I17" s="10"/>
    </row>
    <row r="18" customFormat="false" ht="15" hidden="false" customHeight="false" outlineLevel="0" collapsed="false">
      <c r="A18" s="10" t="s">
        <v>440</v>
      </c>
      <c r="B18" s="10" t="s">
        <v>712</v>
      </c>
      <c r="C18" s="10" t="s">
        <v>145</v>
      </c>
      <c r="D18" s="10" t="s">
        <v>91</v>
      </c>
      <c r="E18" s="10" t="s">
        <v>713</v>
      </c>
      <c r="F18" s="11" t="str">
        <f aca="false">C18&amp;"-"&amp;D18&amp;"-"&amp;E18</f>
        <v>08X04-LMW-13</v>
      </c>
      <c r="G18" s="10" t="str">
        <f aca="false">C18&amp;"-"&amp;D18</f>
        <v>08X04-LMW</v>
      </c>
      <c r="H18" s="10" t="s">
        <v>700</v>
      </c>
      <c r="I18" s="10"/>
    </row>
    <row r="19" customFormat="false" ht="15" hidden="false" customHeight="false" outlineLevel="0" collapsed="false">
      <c r="A19" s="10" t="s">
        <v>440</v>
      </c>
      <c r="B19" s="10" t="s">
        <v>714</v>
      </c>
      <c r="C19" s="10" t="s">
        <v>145</v>
      </c>
      <c r="D19" s="10" t="s">
        <v>91</v>
      </c>
      <c r="E19" s="10" t="s">
        <v>715</v>
      </c>
      <c r="F19" s="11" t="str">
        <f aca="false">C19&amp;"-"&amp;D19&amp;"-"&amp;E19</f>
        <v>08X04-LMW-14</v>
      </c>
      <c r="G19" s="10" t="str">
        <f aca="false">C19&amp;"-"&amp;D19</f>
        <v>08X04-LMW</v>
      </c>
      <c r="H19" s="10" t="s">
        <v>700</v>
      </c>
      <c r="I19" s="10"/>
    </row>
    <row r="20" customFormat="false" ht="15" hidden="false" customHeight="false" outlineLevel="0" collapsed="false">
      <c r="A20" s="10" t="s">
        <v>440</v>
      </c>
      <c r="B20" s="10" t="s">
        <v>716</v>
      </c>
      <c r="C20" s="10" t="s">
        <v>145</v>
      </c>
      <c r="D20" s="10" t="s">
        <v>91</v>
      </c>
      <c r="E20" s="10" t="s">
        <v>717</v>
      </c>
      <c r="F20" s="11" t="str">
        <f aca="false">C20&amp;"-"&amp;D20&amp;"-"&amp;E20</f>
        <v>08X04-LMW-15</v>
      </c>
      <c r="G20" s="10" t="str">
        <f aca="false">C20&amp;"-"&amp;D20</f>
        <v>08X04-LMW</v>
      </c>
      <c r="H20" s="10" t="s">
        <v>700</v>
      </c>
      <c r="I20" s="10"/>
    </row>
    <row r="21" customFormat="false" ht="15" hidden="false" customHeight="false" outlineLevel="0" collapsed="false">
      <c r="A21" s="10" t="s">
        <v>440</v>
      </c>
      <c r="B21" s="10" t="s">
        <v>718</v>
      </c>
      <c r="C21" s="10" t="s">
        <v>145</v>
      </c>
      <c r="D21" s="10" t="s">
        <v>91</v>
      </c>
      <c r="E21" s="10" t="s">
        <v>719</v>
      </c>
      <c r="F21" s="11" t="str">
        <f aca="false">C21&amp;"-"&amp;D21&amp;"-"&amp;E21</f>
        <v>08X04-LMW-16</v>
      </c>
      <c r="G21" s="10" t="str">
        <f aca="false">C21&amp;"-"&amp;D21</f>
        <v>08X04-LMW</v>
      </c>
      <c r="H21" s="10" t="s">
        <v>700</v>
      </c>
      <c r="I21" s="10"/>
    </row>
    <row r="22" customFormat="false" ht="15" hidden="false" customHeight="false" outlineLevel="0" collapsed="false">
      <c r="A22" s="10" t="s">
        <v>440</v>
      </c>
      <c r="B22" s="10" t="s">
        <v>720</v>
      </c>
      <c r="C22" s="10" t="s">
        <v>145</v>
      </c>
      <c r="D22" s="10" t="s">
        <v>91</v>
      </c>
      <c r="E22" s="10" t="s">
        <v>721</v>
      </c>
      <c r="F22" s="11" t="str">
        <f aca="false">C22&amp;"-"&amp;D22&amp;"-"&amp;E22</f>
        <v>08X04-LMW-17</v>
      </c>
      <c r="G22" s="10" t="str">
        <f aca="false">C22&amp;"-"&amp;D22</f>
        <v>08X04-LMW</v>
      </c>
      <c r="H22" s="10" t="s">
        <v>700</v>
      </c>
      <c r="I22" s="10"/>
    </row>
    <row r="23" customFormat="false" ht="15" hidden="false" customHeight="false" outlineLevel="0" collapsed="false">
      <c r="A23" s="10" t="s">
        <v>440</v>
      </c>
      <c r="B23" s="10" t="s">
        <v>722</v>
      </c>
      <c r="C23" s="10" t="s">
        <v>145</v>
      </c>
      <c r="D23" s="10" t="s">
        <v>91</v>
      </c>
      <c r="E23" s="10" t="s">
        <v>723</v>
      </c>
      <c r="F23" s="11" t="str">
        <f aca="false">C23&amp;"-"&amp;D23&amp;"-"&amp;E23</f>
        <v>08X04-LMW-18</v>
      </c>
      <c r="G23" s="10" t="str">
        <f aca="false">C23&amp;"-"&amp;D23</f>
        <v>08X04-LMW</v>
      </c>
      <c r="H23" s="10" t="s">
        <v>700</v>
      </c>
      <c r="I23" s="10"/>
    </row>
    <row r="24" customFormat="false" ht="15" hidden="false" customHeight="false" outlineLevel="0" collapsed="false">
      <c r="A24" s="10" t="s">
        <v>440</v>
      </c>
      <c r="B24" s="10" t="s">
        <v>724</v>
      </c>
      <c r="C24" s="10" t="s">
        <v>145</v>
      </c>
      <c r="D24" s="10" t="s">
        <v>91</v>
      </c>
      <c r="E24" s="10" t="s">
        <v>725</v>
      </c>
      <c r="F24" s="11" t="str">
        <f aca="false">C24&amp;"-"&amp;D24&amp;"-"&amp;E24</f>
        <v>08X04-LMW-19</v>
      </c>
      <c r="G24" s="10" t="str">
        <f aca="false">C24&amp;"-"&amp;D24</f>
        <v>08X04-LMW</v>
      </c>
      <c r="H24" s="10" t="s">
        <v>700</v>
      </c>
      <c r="I24" s="10"/>
    </row>
    <row r="25" customFormat="false" ht="15" hidden="false" customHeight="false" outlineLevel="0" collapsed="false">
      <c r="A25" s="10" t="s">
        <v>440</v>
      </c>
      <c r="B25" s="10" t="s">
        <v>726</v>
      </c>
      <c r="C25" s="10" t="s">
        <v>145</v>
      </c>
      <c r="D25" s="10" t="s">
        <v>91</v>
      </c>
      <c r="E25" s="10" t="s">
        <v>727</v>
      </c>
      <c r="F25" s="11" t="str">
        <f aca="false">C25&amp;"-"&amp;D25&amp;"-"&amp;E25</f>
        <v>08X04-LMW-20</v>
      </c>
      <c r="G25" s="10" t="str">
        <f aca="false">C25&amp;"-"&amp;D25</f>
        <v>08X04-LMW</v>
      </c>
      <c r="H25" s="10" t="s">
        <v>700</v>
      </c>
      <c r="I25" s="10"/>
    </row>
    <row r="26" customFormat="false" ht="15" hidden="false" customHeight="false" outlineLevel="0" collapsed="false">
      <c r="A26" s="10" t="s">
        <v>440</v>
      </c>
      <c r="B26" s="10" t="s">
        <v>728</v>
      </c>
      <c r="C26" s="10" t="s">
        <v>492</v>
      </c>
      <c r="D26" s="10" t="s">
        <v>91</v>
      </c>
      <c r="E26" s="10" t="s">
        <v>185</v>
      </c>
      <c r="F26" s="11" t="str">
        <f aca="false">C26&amp;"-"&amp;D26&amp;"-"&amp;E26</f>
        <v>08X06-LMW-01</v>
      </c>
      <c r="G26" s="10" t="str">
        <f aca="false">C26&amp;"-"&amp;D26</f>
        <v>08X06-LMW</v>
      </c>
      <c r="H26" s="10" t="s">
        <v>729</v>
      </c>
      <c r="I26" s="10"/>
    </row>
    <row r="27" customFormat="false" ht="15" hidden="false" customHeight="false" outlineLevel="0" collapsed="false">
      <c r="A27" s="10" t="s">
        <v>440</v>
      </c>
      <c r="B27" s="10" t="s">
        <v>730</v>
      </c>
      <c r="C27" s="10" t="s">
        <v>492</v>
      </c>
      <c r="D27" s="10" t="s">
        <v>91</v>
      </c>
      <c r="E27" s="10" t="s">
        <v>187</v>
      </c>
      <c r="F27" s="11" t="str">
        <f aca="false">C27&amp;"-"&amp;D27&amp;"-"&amp;E27</f>
        <v>08X06-LMW-02</v>
      </c>
      <c r="G27" s="10" t="str">
        <f aca="false">C27&amp;"-"&amp;D27</f>
        <v>08X06-LMW</v>
      </c>
      <c r="H27" s="10" t="s">
        <v>729</v>
      </c>
      <c r="I27" s="10"/>
    </row>
    <row r="28" customFormat="false" ht="15" hidden="false" customHeight="false" outlineLevel="0" collapsed="false">
      <c r="A28" s="10" t="s">
        <v>440</v>
      </c>
      <c r="B28" s="10" t="s">
        <v>731</v>
      </c>
      <c r="C28" s="10" t="s">
        <v>492</v>
      </c>
      <c r="D28" s="10" t="s">
        <v>91</v>
      </c>
      <c r="E28" s="10" t="s">
        <v>189</v>
      </c>
      <c r="F28" s="11" t="str">
        <f aca="false">C28&amp;"-"&amp;D28&amp;"-"&amp;E28</f>
        <v>08X06-LMW-03</v>
      </c>
      <c r="G28" s="10" t="str">
        <f aca="false">C28&amp;"-"&amp;D28</f>
        <v>08X06-LMW</v>
      </c>
      <c r="H28" s="10" t="s">
        <v>732</v>
      </c>
      <c r="I28" s="10"/>
    </row>
    <row r="29" customFormat="false" ht="23.85" hidden="false" customHeight="false" outlineLevel="0" collapsed="false">
      <c r="A29" s="10" t="s">
        <v>440</v>
      </c>
      <c r="B29" s="10" t="s">
        <v>733</v>
      </c>
      <c r="C29" s="10" t="s">
        <v>492</v>
      </c>
      <c r="D29" s="10" t="s">
        <v>91</v>
      </c>
      <c r="E29" s="10" t="s">
        <v>179</v>
      </c>
      <c r="F29" s="11" t="str">
        <f aca="false">C29&amp;"-"&amp;D29&amp;"-"&amp;E29</f>
        <v>08X06-LMW-04</v>
      </c>
      <c r="G29" s="10" t="str">
        <f aca="false">C29&amp;"-"&amp;D29</f>
        <v>08X06-LMW</v>
      </c>
      <c r="H29" s="10" t="s">
        <v>732</v>
      </c>
      <c r="I29" s="10"/>
    </row>
    <row r="30" customFormat="false" ht="15" hidden="false" customHeight="false" outlineLevel="0" collapsed="false">
      <c r="A30" s="10" t="s">
        <v>440</v>
      </c>
      <c r="B30" s="10" t="s">
        <v>734</v>
      </c>
      <c r="C30" s="10" t="s">
        <v>492</v>
      </c>
      <c r="D30" s="10" t="s">
        <v>91</v>
      </c>
      <c r="E30" s="10" t="s">
        <v>192</v>
      </c>
      <c r="F30" s="11" t="str">
        <f aca="false">C30&amp;"-"&amp;D30&amp;"-"&amp;E30</f>
        <v>08X06-LMW-05</v>
      </c>
      <c r="G30" s="10" t="str">
        <f aca="false">C30&amp;"-"&amp;D30</f>
        <v>08X06-LMW</v>
      </c>
      <c r="H30" s="10" t="s">
        <v>732</v>
      </c>
      <c r="I30" s="10"/>
    </row>
    <row r="31" customFormat="false" ht="15" hidden="false" customHeight="false" outlineLevel="0" collapsed="false">
      <c r="A31" s="10" t="s">
        <v>440</v>
      </c>
      <c r="B31" s="10" t="s">
        <v>735</v>
      </c>
      <c r="C31" s="10" t="s">
        <v>492</v>
      </c>
      <c r="D31" s="10" t="s">
        <v>91</v>
      </c>
      <c r="E31" s="10" t="s">
        <v>181</v>
      </c>
      <c r="F31" s="11" t="str">
        <f aca="false">C31&amp;"-"&amp;D31&amp;"-"&amp;E31</f>
        <v>08X06-LMW-06</v>
      </c>
      <c r="G31" s="10" t="str">
        <f aca="false">C31&amp;"-"&amp;D31</f>
        <v>08X06-LMW</v>
      </c>
      <c r="H31" s="10" t="s">
        <v>729</v>
      </c>
      <c r="I31" s="10"/>
    </row>
    <row r="32" customFormat="false" ht="15" hidden="false" customHeight="false" outlineLevel="0" collapsed="false">
      <c r="A32" s="10" t="s">
        <v>440</v>
      </c>
      <c r="B32" s="10" t="s">
        <v>736</v>
      </c>
      <c r="C32" s="10" t="s">
        <v>492</v>
      </c>
      <c r="D32" s="10" t="s">
        <v>91</v>
      </c>
      <c r="E32" s="10" t="s">
        <v>183</v>
      </c>
      <c r="F32" s="11" t="str">
        <f aca="false">C32&amp;"-"&amp;D32&amp;"-"&amp;E32</f>
        <v>08X06-LMW-07</v>
      </c>
      <c r="G32" s="10" t="str">
        <f aca="false">C32&amp;"-"&amp;D32</f>
        <v>08X06-LMW</v>
      </c>
      <c r="H32" s="10" t="s">
        <v>732</v>
      </c>
      <c r="I32" s="10"/>
    </row>
    <row r="33" customFormat="false" ht="15" hidden="false" customHeight="false" outlineLevel="0" collapsed="false">
      <c r="A33" s="10" t="s">
        <v>440</v>
      </c>
      <c r="B33" s="10" t="s">
        <v>737</v>
      </c>
      <c r="C33" s="10" t="s">
        <v>492</v>
      </c>
      <c r="D33" s="10" t="s">
        <v>91</v>
      </c>
      <c r="E33" s="10" t="s">
        <v>195</v>
      </c>
      <c r="F33" s="11" t="str">
        <f aca="false">C33&amp;"-"&amp;D33&amp;"-"&amp;E33</f>
        <v>08X06-LMW-08</v>
      </c>
      <c r="G33" s="10" t="str">
        <f aca="false">C33&amp;"-"&amp;D33</f>
        <v>08X06-LMW</v>
      </c>
      <c r="H33" s="10" t="s">
        <v>729</v>
      </c>
      <c r="I33" s="10"/>
    </row>
    <row r="34" customFormat="false" ht="15" hidden="false" customHeight="false" outlineLevel="0" collapsed="false">
      <c r="A34" s="10" t="s">
        <v>440</v>
      </c>
      <c r="B34" s="10" t="s">
        <v>738</v>
      </c>
      <c r="C34" s="10" t="s">
        <v>492</v>
      </c>
      <c r="D34" s="10" t="s">
        <v>91</v>
      </c>
      <c r="E34" s="10" t="s">
        <v>213</v>
      </c>
      <c r="F34" s="11" t="str">
        <f aca="false">C34&amp;"-"&amp;D34&amp;"-"&amp;E34</f>
        <v>08X06-LMW-09</v>
      </c>
      <c r="G34" s="10" t="str">
        <f aca="false">C34&amp;"-"&amp;D34</f>
        <v>08X06-LMW</v>
      </c>
      <c r="H34" s="10" t="s">
        <v>729</v>
      </c>
      <c r="I34" s="10"/>
    </row>
    <row r="35" customFormat="false" ht="15" hidden="false" customHeight="false" outlineLevel="0" collapsed="false">
      <c r="A35" s="10" t="s">
        <v>440</v>
      </c>
      <c r="B35" s="10" t="s">
        <v>739</v>
      </c>
      <c r="C35" s="10" t="s">
        <v>651</v>
      </c>
      <c r="D35" s="10" t="s">
        <v>91</v>
      </c>
      <c r="E35" s="10" t="s">
        <v>185</v>
      </c>
      <c r="F35" s="11" t="str">
        <f aca="false">C35&amp;"-"&amp;D35&amp;"-"&amp;E35</f>
        <v>08X11-LMW-01</v>
      </c>
      <c r="G35" s="10" t="str">
        <f aca="false">C35&amp;"-"&amp;D35</f>
        <v>08X11-LMW</v>
      </c>
      <c r="H35" s="10" t="s">
        <v>740</v>
      </c>
      <c r="I35" s="10"/>
    </row>
    <row r="36" customFormat="false" ht="15" hidden="false" customHeight="false" outlineLevel="0" collapsed="false">
      <c r="A36" s="10" t="s">
        <v>440</v>
      </c>
      <c r="B36" s="10" t="s">
        <v>741</v>
      </c>
      <c r="C36" s="10" t="s">
        <v>651</v>
      </c>
      <c r="D36" s="10" t="s">
        <v>91</v>
      </c>
      <c r="E36" s="10" t="s">
        <v>187</v>
      </c>
      <c r="F36" s="11" t="str">
        <f aca="false">C36&amp;"-"&amp;D36&amp;"-"&amp;E36</f>
        <v>08X11-LMW-02</v>
      </c>
      <c r="G36" s="10" t="str">
        <f aca="false">C36&amp;"-"&amp;D36</f>
        <v>08X11-LMW</v>
      </c>
      <c r="H36" s="10" t="s">
        <v>740</v>
      </c>
      <c r="I36" s="10"/>
    </row>
    <row r="37" customFormat="false" ht="15" hidden="false" customHeight="false" outlineLevel="0" collapsed="false">
      <c r="A37" s="10" t="s">
        <v>440</v>
      </c>
      <c r="B37" s="10" t="s">
        <v>742</v>
      </c>
      <c r="C37" s="10" t="s">
        <v>651</v>
      </c>
      <c r="D37" s="10" t="s">
        <v>91</v>
      </c>
      <c r="E37" s="10" t="s">
        <v>189</v>
      </c>
      <c r="F37" s="11" t="str">
        <f aca="false">C37&amp;"-"&amp;D37&amp;"-"&amp;E37</f>
        <v>08X11-LMW-03</v>
      </c>
      <c r="G37" s="10" t="str">
        <f aca="false">C37&amp;"-"&amp;D37</f>
        <v>08X11-LMW</v>
      </c>
      <c r="H37" s="10" t="s">
        <v>740</v>
      </c>
      <c r="I37" s="10"/>
    </row>
    <row r="38" customFormat="false" ht="15" hidden="false" customHeight="false" outlineLevel="0" collapsed="false">
      <c r="A38" s="10" t="s">
        <v>440</v>
      </c>
      <c r="B38" s="10" t="s">
        <v>743</v>
      </c>
      <c r="C38" s="10" t="s">
        <v>270</v>
      </c>
      <c r="D38" s="10" t="s">
        <v>91</v>
      </c>
      <c r="E38" s="10" t="s">
        <v>185</v>
      </c>
      <c r="F38" s="11" t="str">
        <f aca="false">C38&amp;"-"&amp;D38&amp;"-"&amp;E38</f>
        <v>08B11-LMW-01</v>
      </c>
      <c r="G38" s="10" t="str">
        <f aca="false">C38&amp;"-"&amp;D38</f>
        <v>08B11-LMW</v>
      </c>
      <c r="H38" s="10" t="s">
        <v>744</v>
      </c>
      <c r="I38" s="10"/>
    </row>
    <row r="39" customFormat="false" ht="15" hidden="false" customHeight="false" outlineLevel="0" collapsed="false">
      <c r="A39" s="10" t="s">
        <v>690</v>
      </c>
      <c r="B39" s="10" t="s">
        <v>745</v>
      </c>
      <c r="C39" s="10" t="s">
        <v>15</v>
      </c>
      <c r="D39" s="10" t="s">
        <v>106</v>
      </c>
      <c r="E39" s="10" t="s">
        <v>185</v>
      </c>
      <c r="F39" s="11" t="str">
        <f aca="false">C39&amp;"-"&amp;D39&amp;"-"&amp;E39</f>
        <v>STOCK-BRP-01</v>
      </c>
      <c r="G39" s="10" t="str">
        <f aca="false">C39&amp;"-"&amp;D39</f>
        <v>STOCK-BRP</v>
      </c>
      <c r="H39" s="10" t="s">
        <v>746</v>
      </c>
      <c r="I39" s="10"/>
    </row>
    <row r="40" customFormat="false" ht="15" hidden="false" customHeight="false" outlineLevel="0" collapsed="false">
      <c r="A40" s="10" t="s">
        <v>690</v>
      </c>
      <c r="B40" s="10" t="s">
        <v>747</v>
      </c>
      <c r="C40" s="10" t="s">
        <v>15</v>
      </c>
      <c r="D40" s="10" t="s">
        <v>106</v>
      </c>
      <c r="E40" s="10" t="s">
        <v>187</v>
      </c>
      <c r="F40" s="11" t="str">
        <f aca="false">C40&amp;"-"&amp;D40&amp;"-"&amp;E40</f>
        <v>STOCK-BRP-02</v>
      </c>
      <c r="G40" s="10" t="str">
        <f aca="false">C40&amp;"-"&amp;D40</f>
        <v>STOCK-BRP</v>
      </c>
      <c r="H40" s="10" t="s">
        <v>748</v>
      </c>
      <c r="I40" s="10"/>
    </row>
    <row r="41" customFormat="false" ht="15" hidden="false" customHeight="false" outlineLevel="0" collapsed="false">
      <c r="A41" s="10" t="s">
        <v>690</v>
      </c>
      <c r="B41" s="10" t="s">
        <v>749</v>
      </c>
      <c r="C41" s="10" t="s">
        <v>15</v>
      </c>
      <c r="D41" s="10" t="s">
        <v>106</v>
      </c>
      <c r="E41" s="10" t="s">
        <v>189</v>
      </c>
      <c r="F41" s="11" t="str">
        <f aca="false">C41&amp;"-"&amp;D41&amp;"-"&amp;E41</f>
        <v>STOCK-BRP-03</v>
      </c>
      <c r="G41" s="10" t="str">
        <f aca="false">C41&amp;"-"&amp;D41</f>
        <v>STOCK-BRP</v>
      </c>
      <c r="H41" s="10" t="s">
        <v>750</v>
      </c>
      <c r="I41" s="10"/>
    </row>
    <row r="42" customFormat="false" ht="15" hidden="false" customHeight="false" outlineLevel="0" collapsed="false">
      <c r="A42" s="10" t="s">
        <v>690</v>
      </c>
      <c r="B42" s="10" t="s">
        <v>751</v>
      </c>
      <c r="C42" s="10" t="s">
        <v>15</v>
      </c>
      <c r="D42" s="10" t="s">
        <v>106</v>
      </c>
      <c r="E42" s="10" t="s">
        <v>179</v>
      </c>
      <c r="F42" s="11" t="str">
        <f aca="false">C42&amp;"-"&amp;D42&amp;"-"&amp;E42</f>
        <v>STOCK-BRP-04</v>
      </c>
      <c r="G42" s="10" t="str">
        <f aca="false">C42&amp;"-"&amp;D42</f>
        <v>STOCK-BRP</v>
      </c>
      <c r="H42" s="10" t="s">
        <v>752</v>
      </c>
      <c r="I42" s="10"/>
    </row>
    <row r="43" customFormat="false" ht="15" hidden="false" customHeight="false" outlineLevel="0" collapsed="false">
      <c r="A43" s="10" t="s">
        <v>690</v>
      </c>
      <c r="B43" s="10" t="s">
        <v>753</v>
      </c>
      <c r="C43" s="10" t="s">
        <v>15</v>
      </c>
      <c r="D43" s="10" t="s">
        <v>106</v>
      </c>
      <c r="E43" s="10" t="s">
        <v>192</v>
      </c>
      <c r="F43" s="11" t="str">
        <f aca="false">C43&amp;"-"&amp;D43&amp;"-"&amp;E43</f>
        <v>STOCK-BRP-05</v>
      </c>
      <c r="G43" s="10" t="str">
        <f aca="false">C43&amp;"-"&amp;D43</f>
        <v>STOCK-BRP</v>
      </c>
      <c r="H43" s="10" t="s">
        <v>754</v>
      </c>
      <c r="I43" s="10"/>
    </row>
    <row r="44" customFormat="false" ht="15" hidden="false" customHeight="false" outlineLevel="0" collapsed="false">
      <c r="A44" s="10" t="s">
        <v>690</v>
      </c>
      <c r="B44" s="10" t="s">
        <v>755</v>
      </c>
      <c r="C44" s="10" t="s">
        <v>15</v>
      </c>
      <c r="D44" s="10" t="s">
        <v>106</v>
      </c>
      <c r="E44" s="10" t="s">
        <v>181</v>
      </c>
      <c r="F44" s="11" t="str">
        <f aca="false">C44&amp;"-"&amp;D44&amp;"-"&amp;E44</f>
        <v>STOCK-BRP-06</v>
      </c>
      <c r="G44" s="10" t="str">
        <f aca="false">C44&amp;"-"&amp;D44</f>
        <v>STOCK-BRP</v>
      </c>
      <c r="H44" s="10" t="s">
        <v>756</v>
      </c>
      <c r="I44" s="10"/>
    </row>
    <row r="45" customFormat="false" ht="15" hidden="false" customHeight="false" outlineLevel="0" collapsed="false">
      <c r="A45" s="10" t="s">
        <v>690</v>
      </c>
      <c r="B45" s="10" t="s">
        <v>757</v>
      </c>
      <c r="C45" s="10" t="s">
        <v>15</v>
      </c>
      <c r="D45" s="10" t="s">
        <v>104</v>
      </c>
      <c r="E45" s="10" t="s">
        <v>185</v>
      </c>
      <c r="F45" s="11" t="str">
        <f aca="false">C45&amp;"-"&amp;D45&amp;"-"&amp;E45</f>
        <v>STOCK-BRA-01</v>
      </c>
      <c r="G45" s="10" t="str">
        <f aca="false">C45&amp;"-"&amp;D45</f>
        <v>STOCK-BRA</v>
      </c>
      <c r="H45" s="10" t="s">
        <v>758</v>
      </c>
      <c r="I45" s="10"/>
    </row>
    <row r="46" customFormat="false" ht="15" hidden="false" customHeight="false" outlineLevel="0" collapsed="false">
      <c r="A46" s="10" t="s">
        <v>690</v>
      </c>
      <c r="B46" s="10" t="s">
        <v>759</v>
      </c>
      <c r="C46" s="10" t="s">
        <v>15</v>
      </c>
      <c r="D46" s="10" t="s">
        <v>104</v>
      </c>
      <c r="E46" s="10" t="s">
        <v>187</v>
      </c>
      <c r="F46" s="11" t="str">
        <f aca="false">C46&amp;"-"&amp;D46&amp;"-"&amp;E46</f>
        <v>STOCK-BRA-02</v>
      </c>
      <c r="G46" s="10" t="str">
        <f aca="false">C46&amp;"-"&amp;D46</f>
        <v>STOCK-BRA</v>
      </c>
      <c r="H46" s="10" t="s">
        <v>760</v>
      </c>
      <c r="I46" s="10"/>
    </row>
    <row r="47" customFormat="false" ht="15" hidden="false" customHeight="false" outlineLevel="0" collapsed="false">
      <c r="A47" s="10" t="s">
        <v>690</v>
      </c>
      <c r="B47" s="10" t="s">
        <v>761</v>
      </c>
      <c r="C47" s="10" t="s">
        <v>15</v>
      </c>
      <c r="D47" s="10" t="s">
        <v>104</v>
      </c>
      <c r="E47" s="10" t="s">
        <v>189</v>
      </c>
      <c r="F47" s="11" t="str">
        <f aca="false">C47&amp;"-"&amp;D47&amp;"-"&amp;E47</f>
        <v>STOCK-BRA-03</v>
      </c>
      <c r="G47" s="10" t="str">
        <f aca="false">C47&amp;"-"&amp;D47</f>
        <v>STOCK-BRA</v>
      </c>
      <c r="H47" s="10" t="s">
        <v>762</v>
      </c>
      <c r="I47" s="10"/>
    </row>
    <row r="48" customFormat="false" ht="23.85" hidden="false" customHeight="false" outlineLevel="0" collapsed="false">
      <c r="A48" s="10" t="s">
        <v>690</v>
      </c>
      <c r="B48" s="10" t="s">
        <v>763</v>
      </c>
      <c r="C48" s="10" t="s">
        <v>145</v>
      </c>
      <c r="D48" s="10" t="s">
        <v>106</v>
      </c>
      <c r="E48" s="10" t="s">
        <v>181</v>
      </c>
      <c r="F48" s="11" t="str">
        <f aca="false">C48&amp;"-"&amp;D48&amp;"-"&amp;E48</f>
        <v>08X04-BRP-06</v>
      </c>
      <c r="G48" s="10" t="str">
        <f aca="false">C48&amp;"-"&amp;D48</f>
        <v>08X04-BRP</v>
      </c>
      <c r="H48" s="10" t="s">
        <v>764</v>
      </c>
      <c r="I48" s="10"/>
    </row>
    <row r="49" customFormat="false" ht="15" hidden="false" customHeight="false" outlineLevel="0" collapsed="false">
      <c r="A49" s="10" t="s">
        <v>670</v>
      </c>
      <c r="B49" s="10" t="s">
        <v>765</v>
      </c>
      <c r="C49" s="10" t="s">
        <v>15</v>
      </c>
      <c r="D49" s="10" t="s">
        <v>100</v>
      </c>
      <c r="E49" s="10" t="s">
        <v>185</v>
      </c>
      <c r="F49" s="11" t="str">
        <f aca="false">C49&amp;"-"&amp;D49&amp;"-"&amp;E49</f>
        <v>STOCK-PLP-01</v>
      </c>
      <c r="G49" s="10" t="str">
        <f aca="false">C49&amp;"-"&amp;D49</f>
        <v>STOCK-PLP</v>
      </c>
      <c r="H49" s="10" t="s">
        <v>766</v>
      </c>
      <c r="I49" s="10"/>
    </row>
    <row r="50" customFormat="false" ht="15" hidden="false" customHeight="false" outlineLevel="0" collapsed="false">
      <c r="A50" s="10" t="s">
        <v>670</v>
      </c>
      <c r="B50" s="10" t="s">
        <v>767</v>
      </c>
      <c r="C50" s="10" t="s">
        <v>15</v>
      </c>
      <c r="D50" s="10" t="s">
        <v>100</v>
      </c>
      <c r="E50" s="10" t="s">
        <v>187</v>
      </c>
      <c r="F50" s="11" t="str">
        <f aca="false">C50&amp;"-"&amp;D50&amp;"-"&amp;E50</f>
        <v>STOCK-PLP-02</v>
      </c>
      <c r="G50" s="10" t="str">
        <f aca="false">C50&amp;"-"&amp;D50</f>
        <v>STOCK-PLP</v>
      </c>
      <c r="H50" s="10" t="s">
        <v>766</v>
      </c>
      <c r="I50" s="10"/>
    </row>
    <row r="51" customFormat="false" ht="15" hidden="false" customHeight="false" outlineLevel="0" collapsed="false">
      <c r="A51" s="10" t="s">
        <v>670</v>
      </c>
      <c r="B51" s="10" t="s">
        <v>768</v>
      </c>
      <c r="C51" s="10" t="s">
        <v>15</v>
      </c>
      <c r="D51" s="10" t="s">
        <v>100</v>
      </c>
      <c r="E51" s="10" t="s">
        <v>189</v>
      </c>
      <c r="F51" s="11" t="str">
        <f aca="false">C51&amp;"-"&amp;D51&amp;"-"&amp;E51</f>
        <v>STOCK-PLP-03</v>
      </c>
      <c r="G51" s="10" t="str">
        <f aca="false">C51&amp;"-"&amp;D51</f>
        <v>STOCK-PLP</v>
      </c>
      <c r="H51" s="10" t="s">
        <v>766</v>
      </c>
      <c r="I51" s="10"/>
    </row>
    <row r="52" customFormat="false" ht="15" hidden="false" customHeight="false" outlineLevel="0" collapsed="false">
      <c r="A52" s="10" t="s">
        <v>670</v>
      </c>
      <c r="B52" s="10" t="s">
        <v>769</v>
      </c>
      <c r="C52" s="10" t="s">
        <v>15</v>
      </c>
      <c r="D52" s="10" t="s">
        <v>100</v>
      </c>
      <c r="E52" s="10" t="s">
        <v>179</v>
      </c>
      <c r="F52" s="11" t="str">
        <f aca="false">C52&amp;"-"&amp;D52&amp;"-"&amp;E52</f>
        <v>STOCK-PLP-04</v>
      </c>
      <c r="G52" s="10" t="str">
        <f aca="false">C52&amp;"-"&amp;D52</f>
        <v>STOCK-PLP</v>
      </c>
      <c r="H52" s="10" t="s">
        <v>766</v>
      </c>
      <c r="I52" s="10"/>
    </row>
    <row r="53" customFormat="false" ht="15" hidden="false" customHeight="false" outlineLevel="0" collapsed="false">
      <c r="A53" s="10" t="s">
        <v>670</v>
      </c>
      <c r="B53" s="10" t="s">
        <v>770</v>
      </c>
      <c r="C53" s="10" t="s">
        <v>15</v>
      </c>
      <c r="D53" s="10" t="s">
        <v>100</v>
      </c>
      <c r="E53" s="10" t="s">
        <v>192</v>
      </c>
      <c r="F53" s="11" t="str">
        <f aca="false">C53&amp;"-"&amp;D53&amp;"-"&amp;E53</f>
        <v>STOCK-PLP-05</v>
      </c>
      <c r="G53" s="10" t="str">
        <f aca="false">C53&amp;"-"&amp;D53</f>
        <v>STOCK-PLP</v>
      </c>
      <c r="H53" s="10" t="s">
        <v>766</v>
      </c>
      <c r="I53" s="10"/>
    </row>
    <row r="54" customFormat="false" ht="15" hidden="false" customHeight="false" outlineLevel="0" collapsed="false">
      <c r="A54" s="10" t="s">
        <v>670</v>
      </c>
      <c r="B54" s="10" t="s">
        <v>771</v>
      </c>
      <c r="C54" s="10" t="s">
        <v>15</v>
      </c>
      <c r="D54" s="10" t="s">
        <v>100</v>
      </c>
      <c r="E54" s="10" t="s">
        <v>181</v>
      </c>
      <c r="F54" s="11" t="str">
        <f aca="false">C54&amp;"-"&amp;D54&amp;"-"&amp;E54</f>
        <v>STOCK-PLP-06</v>
      </c>
      <c r="G54" s="10" t="str">
        <f aca="false">C54&amp;"-"&amp;D54</f>
        <v>STOCK-PLP</v>
      </c>
      <c r="H54" s="10" t="s">
        <v>766</v>
      </c>
      <c r="I54" s="10"/>
    </row>
    <row r="55" customFormat="false" ht="15" hidden="false" customHeight="false" outlineLevel="0" collapsed="false">
      <c r="A55" s="10" t="s">
        <v>670</v>
      </c>
      <c r="B55" s="10" t="s">
        <v>772</v>
      </c>
      <c r="C55" s="10" t="s">
        <v>15</v>
      </c>
      <c r="D55" s="10" t="s">
        <v>100</v>
      </c>
      <c r="E55" s="10" t="s">
        <v>183</v>
      </c>
      <c r="F55" s="11" t="str">
        <f aca="false">C55&amp;"-"&amp;D55&amp;"-"&amp;E55</f>
        <v>STOCK-PLP-07</v>
      </c>
      <c r="G55" s="10" t="str">
        <f aca="false">C55&amp;"-"&amp;D55</f>
        <v>STOCK-PLP</v>
      </c>
      <c r="H55" s="10" t="s">
        <v>766</v>
      </c>
      <c r="I55" s="10"/>
    </row>
    <row r="56" customFormat="false" ht="15" hidden="false" customHeight="false" outlineLevel="0" collapsed="false">
      <c r="A56" s="10" t="s">
        <v>670</v>
      </c>
      <c r="B56" s="10" t="s">
        <v>773</v>
      </c>
      <c r="C56" s="10" t="s">
        <v>15</v>
      </c>
      <c r="D56" s="10" t="s">
        <v>100</v>
      </c>
      <c r="E56" s="10" t="s">
        <v>195</v>
      </c>
      <c r="F56" s="11" t="str">
        <f aca="false">C56&amp;"-"&amp;D56&amp;"-"&amp;E56</f>
        <v>STOCK-PLP-08</v>
      </c>
      <c r="G56" s="10" t="str">
        <f aca="false">C56&amp;"-"&amp;D56</f>
        <v>STOCK-PLP</v>
      </c>
      <c r="H56" s="10" t="s">
        <v>766</v>
      </c>
      <c r="I56" s="10"/>
    </row>
    <row r="57" customFormat="false" ht="15" hidden="false" customHeight="false" outlineLevel="0" collapsed="false">
      <c r="A57" s="10" t="s">
        <v>670</v>
      </c>
      <c r="B57" s="10" t="s">
        <v>774</v>
      </c>
      <c r="C57" s="10" t="s">
        <v>15</v>
      </c>
      <c r="D57" s="10" t="s">
        <v>100</v>
      </c>
      <c r="E57" s="10" t="s">
        <v>213</v>
      </c>
      <c r="F57" s="11" t="str">
        <f aca="false">C57&amp;"-"&amp;D57&amp;"-"&amp;E57</f>
        <v>STOCK-PLP-09</v>
      </c>
      <c r="G57" s="10" t="str">
        <f aca="false">C57&amp;"-"&amp;D57</f>
        <v>STOCK-PLP</v>
      </c>
      <c r="H57" s="10" t="s">
        <v>766</v>
      </c>
      <c r="I57" s="10"/>
    </row>
    <row r="58" customFormat="false" ht="15" hidden="false" customHeight="false" outlineLevel="0" collapsed="false">
      <c r="A58" s="10" t="s">
        <v>674</v>
      </c>
      <c r="B58" s="10" t="s">
        <v>775</v>
      </c>
      <c r="C58" s="10" t="s">
        <v>15</v>
      </c>
      <c r="D58" s="10" t="s">
        <v>96</v>
      </c>
      <c r="E58" s="10" t="s">
        <v>185</v>
      </c>
      <c r="F58" s="11" t="str">
        <f aca="false">C58&amp;"-"&amp;D58&amp;"-"&amp;E58</f>
        <v>STOCK-LPP-01</v>
      </c>
      <c r="G58" s="10" t="str">
        <f aca="false">C58&amp;"-"&amp;D58</f>
        <v>STOCK-LPP</v>
      </c>
      <c r="H58" s="10"/>
      <c r="I58" s="10"/>
    </row>
    <row r="59" customFormat="false" ht="15" hidden="false" customHeight="false" outlineLevel="0" collapsed="false">
      <c r="A59" s="10" t="s">
        <v>674</v>
      </c>
      <c r="B59" s="10" t="s">
        <v>776</v>
      </c>
      <c r="C59" s="10" t="s">
        <v>15</v>
      </c>
      <c r="D59" s="10" t="s">
        <v>96</v>
      </c>
      <c r="E59" s="10" t="s">
        <v>187</v>
      </c>
      <c r="F59" s="11" t="str">
        <f aca="false">C59&amp;"-"&amp;D59&amp;"-"&amp;E59</f>
        <v>STOCK-LPP-02</v>
      </c>
      <c r="G59" s="10" t="str">
        <f aca="false">C59&amp;"-"&amp;D59</f>
        <v>STOCK-LPP</v>
      </c>
      <c r="H59" s="10"/>
      <c r="I59" s="10"/>
    </row>
    <row r="60" customFormat="false" ht="15" hidden="false" customHeight="false" outlineLevel="0" collapsed="false">
      <c r="A60" s="10" t="s">
        <v>674</v>
      </c>
      <c r="B60" s="10" t="s">
        <v>777</v>
      </c>
      <c r="C60" s="10" t="s">
        <v>15</v>
      </c>
      <c r="D60" s="10" t="s">
        <v>96</v>
      </c>
      <c r="E60" s="10" t="s">
        <v>189</v>
      </c>
      <c r="F60" s="11" t="str">
        <f aca="false">C60&amp;"-"&amp;D60&amp;"-"&amp;E60</f>
        <v>STOCK-LPP-03</v>
      </c>
      <c r="G60" s="10" t="str">
        <f aca="false">C60&amp;"-"&amp;D60</f>
        <v>STOCK-LPP</v>
      </c>
      <c r="H60" s="10"/>
      <c r="I60" s="10"/>
    </row>
    <row r="61" customFormat="false" ht="15" hidden="false" customHeight="false" outlineLevel="0" collapsed="false">
      <c r="A61" s="10" t="s">
        <v>674</v>
      </c>
      <c r="B61" s="10" t="s">
        <v>778</v>
      </c>
      <c r="C61" s="10" t="s">
        <v>15</v>
      </c>
      <c r="D61" s="10" t="s">
        <v>96</v>
      </c>
      <c r="E61" s="10" t="s">
        <v>179</v>
      </c>
      <c r="F61" s="11" t="str">
        <f aca="false">C61&amp;"-"&amp;D61&amp;"-"&amp;E61</f>
        <v>STOCK-LPP-04</v>
      </c>
      <c r="G61" s="10" t="str">
        <f aca="false">C61&amp;"-"&amp;D61</f>
        <v>STOCK-LPP</v>
      </c>
      <c r="H61" s="10"/>
      <c r="I61" s="10"/>
    </row>
    <row r="62" customFormat="false" ht="15" hidden="false" customHeight="false" outlineLevel="0" collapsed="false">
      <c r="A62" s="10" t="s">
        <v>674</v>
      </c>
      <c r="B62" s="10" t="s">
        <v>779</v>
      </c>
      <c r="C62" s="10" t="s">
        <v>15</v>
      </c>
      <c r="D62" s="10" t="s">
        <v>96</v>
      </c>
      <c r="E62" s="10" t="s">
        <v>192</v>
      </c>
      <c r="F62" s="11" t="str">
        <f aca="false">C62&amp;"-"&amp;D62&amp;"-"&amp;E62</f>
        <v>STOCK-LPP-05</v>
      </c>
      <c r="G62" s="10" t="str">
        <f aca="false">C62&amp;"-"&amp;D62</f>
        <v>STOCK-LPP</v>
      </c>
      <c r="H62" s="10"/>
      <c r="I62" s="10"/>
    </row>
    <row r="63" customFormat="false" ht="15" hidden="false" customHeight="false" outlineLevel="0" collapsed="false">
      <c r="A63" s="10" t="s">
        <v>674</v>
      </c>
      <c r="B63" s="10" t="s">
        <v>780</v>
      </c>
      <c r="C63" s="10" t="s">
        <v>15</v>
      </c>
      <c r="D63" s="10" t="s">
        <v>96</v>
      </c>
      <c r="E63" s="10" t="s">
        <v>181</v>
      </c>
      <c r="F63" s="11" t="str">
        <f aca="false">C63&amp;"-"&amp;D63&amp;"-"&amp;E63</f>
        <v>STOCK-LPP-06</v>
      </c>
      <c r="G63" s="10" t="str">
        <f aca="false">C63&amp;"-"&amp;D63</f>
        <v>STOCK-LPP</v>
      </c>
      <c r="H63" s="10"/>
      <c r="I63" s="10"/>
    </row>
    <row r="64" customFormat="false" ht="15" hidden="false" customHeight="false" outlineLevel="0" collapsed="false">
      <c r="A64" s="10" t="s">
        <v>674</v>
      </c>
      <c r="B64" s="10" t="s">
        <v>781</v>
      </c>
      <c r="C64" s="10" t="s">
        <v>15</v>
      </c>
      <c r="D64" s="10" t="s">
        <v>96</v>
      </c>
      <c r="E64" s="10" t="s">
        <v>183</v>
      </c>
      <c r="F64" s="11" t="str">
        <f aca="false">C64&amp;"-"&amp;D64&amp;"-"&amp;E64</f>
        <v>STOCK-LPP-07</v>
      </c>
      <c r="G64" s="10" t="str">
        <f aca="false">C64&amp;"-"&amp;D64</f>
        <v>STOCK-LPP</v>
      </c>
      <c r="H64" s="10"/>
      <c r="I64" s="10"/>
    </row>
    <row r="65" customFormat="false" ht="15" hidden="false" customHeight="false" outlineLevel="0" collapsed="false">
      <c r="A65" s="10" t="s">
        <v>391</v>
      </c>
      <c r="B65" s="10" t="s">
        <v>782</v>
      </c>
      <c r="C65" s="10" t="s">
        <v>15</v>
      </c>
      <c r="D65" s="10" t="s">
        <v>121</v>
      </c>
      <c r="E65" s="10" t="s">
        <v>185</v>
      </c>
      <c r="F65" s="11" t="str">
        <f aca="false">C65&amp;"-"&amp;D65&amp;"-"&amp;E65</f>
        <v>STOCK-PKP-01</v>
      </c>
      <c r="G65" s="10" t="str">
        <f aca="false">C65&amp;"-"&amp;D65</f>
        <v>STOCK-PKP</v>
      </c>
      <c r="H65" s="10"/>
      <c r="I65" s="10"/>
    </row>
    <row r="66" customFormat="false" ht="15" hidden="false" customHeight="false" outlineLevel="0" collapsed="false">
      <c r="A66" s="10" t="s">
        <v>391</v>
      </c>
      <c r="B66" s="10" t="s">
        <v>783</v>
      </c>
      <c r="C66" s="10" t="s">
        <v>15</v>
      </c>
      <c r="D66" s="10" t="s">
        <v>121</v>
      </c>
      <c r="E66" s="10" t="s">
        <v>187</v>
      </c>
      <c r="F66" s="11" t="str">
        <f aca="false">C66&amp;"-"&amp;D66&amp;"-"&amp;E66</f>
        <v>STOCK-PKP-02</v>
      </c>
      <c r="G66" s="10" t="str">
        <f aca="false">C66&amp;"-"&amp;D66</f>
        <v>STOCK-PKP</v>
      </c>
      <c r="H66" s="10"/>
      <c r="I66" s="10"/>
    </row>
    <row r="67" customFormat="false" ht="15" hidden="false" customHeight="false" outlineLevel="0" collapsed="false">
      <c r="A67" s="10" t="s">
        <v>391</v>
      </c>
      <c r="B67" s="10" t="s">
        <v>784</v>
      </c>
      <c r="C67" s="10" t="s">
        <v>15</v>
      </c>
      <c r="D67" s="10" t="s">
        <v>121</v>
      </c>
      <c r="E67" s="10" t="s">
        <v>189</v>
      </c>
      <c r="F67" s="11" t="str">
        <f aca="false">C67&amp;"-"&amp;D67&amp;"-"&amp;E67</f>
        <v>STOCK-PKP-03</v>
      </c>
      <c r="G67" s="10" t="str">
        <f aca="false">C67&amp;"-"&amp;D67</f>
        <v>STOCK-PKP</v>
      </c>
      <c r="H67" s="10"/>
      <c r="I67" s="10"/>
    </row>
    <row r="68" customFormat="false" ht="15" hidden="false" customHeight="false" outlineLevel="0" collapsed="false">
      <c r="A68" s="10" t="s">
        <v>391</v>
      </c>
      <c r="B68" s="10" t="s">
        <v>785</v>
      </c>
      <c r="C68" s="10" t="s">
        <v>15</v>
      </c>
      <c r="D68" s="10" t="s">
        <v>121</v>
      </c>
      <c r="E68" s="10" t="s">
        <v>179</v>
      </c>
      <c r="F68" s="11" t="str">
        <f aca="false">C68&amp;"-"&amp;D68&amp;"-"&amp;E68</f>
        <v>STOCK-PKP-04</v>
      </c>
      <c r="G68" s="10" t="str">
        <f aca="false">C68&amp;"-"&amp;D68</f>
        <v>STOCK-PKP</v>
      </c>
      <c r="H68" s="10"/>
      <c r="I68" s="10"/>
    </row>
    <row r="69" customFormat="false" ht="23.85" hidden="false" customHeight="false" outlineLevel="0" collapsed="false">
      <c r="A69" s="10" t="s">
        <v>518</v>
      </c>
      <c r="B69" s="10" t="s">
        <v>786</v>
      </c>
      <c r="C69" s="10" t="s">
        <v>265</v>
      </c>
      <c r="D69" s="10" t="s">
        <v>84</v>
      </c>
      <c r="E69" s="10" t="s">
        <v>361</v>
      </c>
      <c r="F69" s="11" t="str">
        <f aca="false">C69&amp;"-"&amp;D69&amp;"-"&amp;E69</f>
        <v>08A11-SFA-1B</v>
      </c>
      <c r="G69" s="10" t="str">
        <f aca="false">C69&amp;"-"&amp;D69</f>
        <v>08A11-SFA</v>
      </c>
      <c r="H69" s="10" t="s">
        <v>787</v>
      </c>
      <c r="I69" s="10"/>
    </row>
    <row r="70" customFormat="false" ht="15" hidden="false" customHeight="false" outlineLevel="0" collapsed="false">
      <c r="A70" s="10" t="s">
        <v>518</v>
      </c>
      <c r="B70" s="10" t="s">
        <v>788</v>
      </c>
      <c r="C70" s="10" t="s">
        <v>265</v>
      </c>
      <c r="D70" s="10" t="s">
        <v>84</v>
      </c>
      <c r="E70" s="10" t="s">
        <v>789</v>
      </c>
      <c r="F70" s="11" t="str">
        <f aca="false">C70&amp;"-"&amp;D70&amp;"-"&amp;E70</f>
        <v>08A11-SFA-?</v>
      </c>
      <c r="G70" s="10" t="str">
        <f aca="false">C70&amp;"-"&amp;D70</f>
        <v>08A11-SFA</v>
      </c>
      <c r="H70" s="10" t="s">
        <v>790</v>
      </c>
      <c r="I70" s="10"/>
    </row>
    <row r="71" customFormat="false" ht="23.85" hidden="false" customHeight="false" outlineLevel="0" collapsed="false">
      <c r="A71" s="10" t="s">
        <v>654</v>
      </c>
      <c r="B71" s="10" t="s">
        <v>791</v>
      </c>
      <c r="C71" s="10" t="s">
        <v>288</v>
      </c>
      <c r="D71" s="10" t="s">
        <v>100</v>
      </c>
      <c r="E71" s="10" t="s">
        <v>185</v>
      </c>
      <c r="F71" s="11" t="str">
        <f aca="false">C71&amp;"-"&amp;D71&amp;"-"&amp;E71</f>
        <v>08XXX-PLP-01</v>
      </c>
      <c r="G71" s="10" t="str">
        <f aca="false">C71&amp;"-"&amp;D71</f>
        <v>08XXX-PLP</v>
      </c>
      <c r="H71" s="10" t="s">
        <v>792</v>
      </c>
      <c r="I71" s="10"/>
    </row>
    <row r="72" customFormat="false" ht="23.85" hidden="false" customHeight="false" outlineLevel="0" collapsed="false">
      <c r="A72" s="10" t="s">
        <v>654</v>
      </c>
      <c r="B72" s="10" t="s">
        <v>793</v>
      </c>
      <c r="C72" s="10" t="s">
        <v>288</v>
      </c>
      <c r="D72" s="10" t="s">
        <v>100</v>
      </c>
      <c r="E72" s="10" t="s">
        <v>187</v>
      </c>
      <c r="F72" s="11" t="str">
        <f aca="false">C72&amp;"-"&amp;D72&amp;"-"&amp;E72</f>
        <v>08XXX-PLP-02</v>
      </c>
      <c r="G72" s="10" t="str">
        <f aca="false">C72&amp;"-"&amp;D72</f>
        <v>08XXX-PLP</v>
      </c>
      <c r="H72" s="10"/>
      <c r="I72" s="10"/>
    </row>
    <row r="73" customFormat="false" ht="23.85" hidden="false" customHeight="false" outlineLevel="0" collapsed="false">
      <c r="A73" s="10" t="s">
        <v>656</v>
      </c>
      <c r="B73" s="10" t="s">
        <v>791</v>
      </c>
      <c r="C73" s="10" t="s">
        <v>288</v>
      </c>
      <c r="D73" s="10" t="s">
        <v>100</v>
      </c>
      <c r="E73" s="10" t="s">
        <v>189</v>
      </c>
      <c r="F73" s="11" t="str">
        <f aca="false">C73&amp;"-"&amp;D73&amp;"-"&amp;E73</f>
        <v>08XXX-PLP-03</v>
      </c>
      <c r="G73" s="10" t="str">
        <f aca="false">C73&amp;"-"&amp;D73</f>
        <v>08XXX-PLP</v>
      </c>
      <c r="H73" s="10" t="s">
        <v>794</v>
      </c>
      <c r="I73" s="10"/>
    </row>
    <row r="74" customFormat="false" ht="23.85" hidden="false" customHeight="false" outlineLevel="0" collapsed="false">
      <c r="A74" s="10" t="s">
        <v>656</v>
      </c>
      <c r="B74" s="10" t="s">
        <v>795</v>
      </c>
      <c r="C74" s="10" t="s">
        <v>288</v>
      </c>
      <c r="D74" s="10" t="s">
        <v>100</v>
      </c>
      <c r="E74" s="10" t="s">
        <v>179</v>
      </c>
      <c r="F74" s="11" t="str">
        <f aca="false">C74&amp;"-"&amp;D74&amp;"-"&amp;E74</f>
        <v>08XXX-PLP-04</v>
      </c>
      <c r="G74" s="10" t="str">
        <f aca="false">C74&amp;"-"&amp;D74</f>
        <v>08XXX-PLP</v>
      </c>
      <c r="H74" s="10"/>
      <c r="I74" s="10"/>
    </row>
    <row r="75" customFormat="false" ht="23.85" hidden="false" customHeight="false" outlineLevel="0" collapsed="false">
      <c r="A75" s="10" t="s">
        <v>656</v>
      </c>
      <c r="B75" s="10" t="s">
        <v>793</v>
      </c>
      <c r="C75" s="10" t="s">
        <v>288</v>
      </c>
      <c r="D75" s="10" t="s">
        <v>100</v>
      </c>
      <c r="E75" s="10" t="s">
        <v>192</v>
      </c>
      <c r="F75" s="11" t="str">
        <f aca="false">C75&amp;"-"&amp;D75&amp;"-"&amp;E75</f>
        <v>08XXX-PLP-05</v>
      </c>
      <c r="G75" s="10" t="str">
        <f aca="false">C75&amp;"-"&amp;D75</f>
        <v>08XXX-PLP</v>
      </c>
      <c r="H75" s="10" t="s">
        <v>796</v>
      </c>
      <c r="I75" s="10"/>
    </row>
    <row r="76" customFormat="false" ht="23.85" hidden="false" customHeight="false" outlineLevel="0" collapsed="false">
      <c r="A76" s="10" t="s">
        <v>656</v>
      </c>
      <c r="B76" s="10" t="s">
        <v>797</v>
      </c>
      <c r="C76" s="10" t="s">
        <v>288</v>
      </c>
      <c r="D76" s="10" t="s">
        <v>100</v>
      </c>
      <c r="E76" s="10" t="s">
        <v>181</v>
      </c>
      <c r="F76" s="11" t="str">
        <f aca="false">C76&amp;"-"&amp;D76&amp;"-"&amp;E76</f>
        <v>08XXX-PLP-06</v>
      </c>
      <c r="G76" s="10" t="str">
        <f aca="false">C76&amp;"-"&amp;D76</f>
        <v>08XXX-PLP</v>
      </c>
      <c r="H76" s="10"/>
      <c r="I76" s="10"/>
    </row>
    <row r="77" customFormat="false" ht="15" hidden="false" customHeight="false" outlineLevel="0" collapsed="false">
      <c r="A77" s="10" t="s">
        <v>657</v>
      </c>
      <c r="B77" s="10" t="s">
        <v>421</v>
      </c>
      <c r="C77" s="10" t="s">
        <v>288</v>
      </c>
      <c r="D77" s="10" t="s">
        <v>74</v>
      </c>
      <c r="E77" s="10" t="s">
        <v>185</v>
      </c>
      <c r="F77" s="11" t="str">
        <f aca="false">C77&amp;"-"&amp;D77&amp;"-"&amp;E77</f>
        <v>08XXX-HBW-01</v>
      </c>
      <c r="G77" s="10" t="str">
        <f aca="false">C77&amp;"-"&amp;D77</f>
        <v>08XXX-HBW</v>
      </c>
      <c r="H77" s="10" t="s">
        <v>798</v>
      </c>
      <c r="I77" s="10"/>
    </row>
    <row r="78" customFormat="false" ht="15" hidden="false" customHeight="false" outlineLevel="0" collapsed="false">
      <c r="A78" s="10" t="s">
        <v>657</v>
      </c>
      <c r="B78" s="10" t="s">
        <v>799</v>
      </c>
      <c r="C78" s="10" t="s">
        <v>292</v>
      </c>
      <c r="D78" s="10" t="s">
        <v>74</v>
      </c>
      <c r="E78" s="10" t="s">
        <v>185</v>
      </c>
      <c r="F78" s="11" t="str">
        <f aca="false">C78&amp;"-"&amp;D78&amp;"-"&amp;E78</f>
        <v>08BXX-HBW-01</v>
      </c>
      <c r="G78" s="10" t="str">
        <f aca="false">C78&amp;"-"&amp;D78</f>
        <v>08BXX-HBW</v>
      </c>
      <c r="H78" s="10" t="s">
        <v>800</v>
      </c>
      <c r="I78" s="10"/>
    </row>
  </sheetData>
  <autoFilter ref="A4:I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15" hidden="false" customHeight="true" outlineLevel="0" collapsed="false">
      <c r="A1" s="2" t="s">
        <v>801</v>
      </c>
    </row>
    <row r="3" customFormat="false" ht="15" hidden="false" customHeight="true" outlineLevel="0" collapsed="false">
      <c r="A3" s="9" t="s">
        <v>802</v>
      </c>
      <c r="B3" s="9" t="s">
        <v>803</v>
      </c>
      <c r="C3" s="9" t="s">
        <v>804</v>
      </c>
      <c r="D3" s="9" t="s">
        <v>805</v>
      </c>
    </row>
    <row r="4" customFormat="false" ht="23.25" hidden="false" customHeight="true" outlineLevel="0" collapsed="false">
      <c r="A4" s="10" t="s">
        <v>806</v>
      </c>
      <c r="B4" s="10" t="s">
        <v>807</v>
      </c>
      <c r="C4" s="10" t="s">
        <v>808</v>
      </c>
      <c r="D4" s="10"/>
    </row>
    <row r="5" customFormat="false" ht="15" hidden="false" customHeight="true" outlineLevel="0" collapsed="false">
      <c r="A5" s="10" t="s">
        <v>809</v>
      </c>
      <c r="B5" s="10" t="s">
        <v>810</v>
      </c>
      <c r="C5" s="10" t="s">
        <v>811</v>
      </c>
      <c r="D5" s="10"/>
    </row>
    <row r="6" customFormat="false" ht="15" hidden="false" customHeight="true" outlineLevel="0" collapsed="false">
      <c r="A6" s="10" t="s">
        <v>812</v>
      </c>
      <c r="B6" s="10" t="s">
        <v>813</v>
      </c>
      <c r="C6" s="10" t="s">
        <v>814</v>
      </c>
      <c r="D6" s="10"/>
    </row>
    <row r="7" customFormat="false" ht="23.25" hidden="false" customHeight="true" outlineLevel="0" collapsed="false">
      <c r="A7" s="10" t="s">
        <v>815</v>
      </c>
      <c r="B7" s="10" t="s">
        <v>816</v>
      </c>
      <c r="C7" s="10" t="s">
        <v>814</v>
      </c>
      <c r="D7" s="10"/>
    </row>
    <row r="8" customFormat="false" ht="15" hidden="false" customHeight="true" outlineLevel="0" collapsed="false">
      <c r="A8" s="10" t="s">
        <v>817</v>
      </c>
      <c r="B8" s="10" t="s">
        <v>818</v>
      </c>
      <c r="C8" s="10" t="s">
        <v>814</v>
      </c>
      <c r="D8" s="10"/>
    </row>
    <row r="9" customFormat="false" ht="23.25" hidden="false" customHeight="true" outlineLevel="0" collapsed="false">
      <c r="A9" s="10" t="s">
        <v>819</v>
      </c>
      <c r="B9" s="10" t="s">
        <v>820</v>
      </c>
      <c r="C9" s="10" t="s">
        <v>814</v>
      </c>
      <c r="D9" s="10"/>
    </row>
    <row r="10" customFormat="false" ht="15" hidden="false" customHeight="true" outlineLevel="0" collapsed="false">
      <c r="A10" s="10" t="s">
        <v>821</v>
      </c>
      <c r="B10" s="10" t="s">
        <v>822</v>
      </c>
      <c r="C10" s="10" t="s">
        <v>814</v>
      </c>
      <c r="D10" s="10"/>
    </row>
    <row r="11" customFormat="false" ht="15" hidden="false" customHeight="true" outlineLevel="0" collapsed="false">
      <c r="A11" s="10" t="s">
        <v>823</v>
      </c>
      <c r="B11" s="10" t="s">
        <v>824</v>
      </c>
      <c r="C11" s="10" t="s">
        <v>814</v>
      </c>
      <c r="D11" s="10"/>
    </row>
    <row r="12" customFormat="false" ht="15" hidden="false" customHeight="true" outlineLevel="0" collapsed="false">
      <c r="A12" s="10" t="s">
        <v>825</v>
      </c>
      <c r="B12" s="10" t="s">
        <v>826</v>
      </c>
      <c r="C12" s="10" t="s">
        <v>808</v>
      </c>
      <c r="D12" s="10"/>
    </row>
    <row r="13" customFormat="false" ht="15" hidden="false" customHeight="true" outlineLevel="0" collapsed="false">
      <c r="A13" s="10" t="s">
        <v>208</v>
      </c>
      <c r="B13" s="10" t="s">
        <v>827</v>
      </c>
      <c r="C13" s="10" t="s">
        <v>814</v>
      </c>
      <c r="D13" s="10"/>
    </row>
    <row r="14" customFormat="false" ht="15" hidden="false" customHeight="true" outlineLevel="0" collapsed="false">
      <c r="A14" s="10" t="s">
        <v>210</v>
      </c>
      <c r="B14" s="10" t="s">
        <v>828</v>
      </c>
      <c r="C14" s="10" t="s">
        <v>814</v>
      </c>
      <c r="D14" s="10"/>
    </row>
    <row r="15" customFormat="false" ht="15" hidden="false" customHeight="true" outlineLevel="0" collapsed="false">
      <c r="A15" s="10" t="s">
        <v>222</v>
      </c>
      <c r="B15" s="10" t="s">
        <v>829</v>
      </c>
      <c r="C15" s="10" t="s">
        <v>814</v>
      </c>
      <c r="D15" s="10"/>
    </row>
    <row r="16" customFormat="false" ht="15" hidden="false" customHeight="true" outlineLevel="0" collapsed="false">
      <c r="A16" s="10" t="s">
        <v>713</v>
      </c>
      <c r="B16" s="10" t="s">
        <v>830</v>
      </c>
      <c r="C16" s="10" t="s">
        <v>808</v>
      </c>
      <c r="D16" s="10"/>
    </row>
    <row r="17" customFormat="false" ht="15" hidden="false" customHeight="true" outlineLevel="0" collapsed="false">
      <c r="A17" s="10" t="s">
        <v>715</v>
      </c>
      <c r="B17" s="10" t="s">
        <v>831</v>
      </c>
      <c r="C17" s="10" t="s">
        <v>814</v>
      </c>
      <c r="D17" s="10"/>
    </row>
    <row r="18" customFormat="false" ht="15" hidden="false" customHeight="false" outlineLevel="0" collapsed="false">
      <c r="A18" s="10" t="s">
        <v>717</v>
      </c>
      <c r="B18" s="10" t="s">
        <v>832</v>
      </c>
      <c r="C18" s="10" t="s">
        <v>814</v>
      </c>
      <c r="D18" s="10"/>
    </row>
    <row r="19" customFormat="false" ht="15" hidden="false" customHeight="false" outlineLevel="0" collapsed="false">
      <c r="A19" s="10" t="s">
        <v>719</v>
      </c>
      <c r="B19" s="10" t="s">
        <v>833</v>
      </c>
      <c r="C19" s="10" t="s">
        <v>814</v>
      </c>
      <c r="D19" s="10"/>
    </row>
    <row r="20" customFormat="false" ht="23.85" hidden="false" customHeight="false" outlineLevel="0" collapsed="false">
      <c r="A20" s="10" t="s">
        <v>721</v>
      </c>
      <c r="B20" s="10" t="s">
        <v>834</v>
      </c>
      <c r="C20" s="10" t="s">
        <v>814</v>
      </c>
      <c r="D20" s="10"/>
    </row>
    <row r="21" customFormat="false" ht="15" hidden="false" customHeight="false" outlineLevel="0" collapsed="false">
      <c r="A21" s="10" t="s">
        <v>723</v>
      </c>
      <c r="B21" s="10" t="s">
        <v>835</v>
      </c>
      <c r="C21" s="10" t="s">
        <v>814</v>
      </c>
      <c r="D21" s="10"/>
    </row>
    <row r="22" customFormat="false" ht="15" hidden="false" customHeight="false" outlineLevel="0" collapsed="false">
      <c r="A22" s="10" t="s">
        <v>725</v>
      </c>
      <c r="B22" s="10" t="s">
        <v>836</v>
      </c>
      <c r="C22" s="10" t="s">
        <v>814</v>
      </c>
      <c r="D2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2026-10-13T05:06:39Z</dcterms:created>
  <dc:creator>openpyxl</dc:creator>
  <dc:description/>
  <dc:language>en-US</dc:language>
  <cp:lastModifiedBy>Grant</cp:lastModifiedBy>
  <dcterms:modified xsi:type="dcterms:W3CDTF">2026-10-14T07:39:40Z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